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U:\HCT\H C T\통신그룹\통신시험센터\성적서_2026년\CE\CE_RF\# 2026 Main RSE 신규 자동화\Rawdata Sample\"/>
    </mc:Choice>
  </mc:AlternateContent>
  <xr:revisionPtr revIDLastSave="0" documentId="13_ncr:1_{DCD21294-9E10-417E-A992-F3C41B7F72BF}" xr6:coauthVersionLast="36" xr6:coauthVersionMax="47" xr10:uidLastSave="{00000000-0000-0000-0000-000000000000}"/>
  <bookViews>
    <workbookView xWindow="-28920" yWindow="-75" windowWidth="29040" windowHeight="15720" tabRatio="720" xr2:uid="{00000000-000D-0000-FFFF-FFFF00000000}"/>
  </bookViews>
  <sheets>
    <sheet name="Sub6 n1" sheetId="9" r:id="rId1"/>
    <sheet name="Sub6 n3" sheetId="34" r:id="rId2"/>
    <sheet name="Sub6 n5" sheetId="21" r:id="rId3"/>
    <sheet name="Sub6 n7" sheetId="35" r:id="rId4"/>
    <sheet name="Sub6 n8" sheetId="36" r:id="rId5"/>
    <sheet name="Sub6 n20" sheetId="37" r:id="rId6"/>
    <sheet name="Sub6 n26" sheetId="38" r:id="rId7"/>
    <sheet name="Sub6 n28" sheetId="39" r:id="rId8"/>
    <sheet name="Sub6 n38" sheetId="41" r:id="rId9"/>
    <sheet name="Sub6 n40" sheetId="42" r:id="rId10"/>
    <sheet name="Sub6 n41" sheetId="43" r:id="rId11"/>
    <sheet name="Sub6 n71" sheetId="40" r:id="rId12"/>
    <sheet name="Sub6 n77" sheetId="22" r:id="rId13"/>
    <sheet name="Sub6 n78" sheetId="44" r:id="rId14"/>
    <sheet name="Sub6 n79" sheetId="45" r:id="rId15"/>
  </sheets>
  <definedNames>
    <definedName name="_xlnm.Print_Area" localSheetId="0">'Sub6 n1'!$A$1:$P$85</definedName>
    <definedName name="_xlnm.Print_Area" localSheetId="5">'Sub6 n20'!$A$1:$P$75</definedName>
    <definedName name="_xlnm.Print_Area" localSheetId="6">'Sub6 n26'!$A$1:$P$75</definedName>
    <definedName name="_xlnm.Print_Area" localSheetId="7">'Sub6 n28'!$A$1:$P$75</definedName>
    <definedName name="_xlnm.Print_Area" localSheetId="1">'Sub6 n3'!$A$1:$P$85</definedName>
    <definedName name="_xlnm.Print_Area" localSheetId="8">'Sub6 n38'!$A$1:$P$85</definedName>
    <definedName name="_xlnm.Print_Area" localSheetId="9">'Sub6 n40'!$A$1:$P$85</definedName>
    <definedName name="_xlnm.Print_Area" localSheetId="10">'Sub6 n41'!$A$1:$P$85</definedName>
    <definedName name="_xlnm.Print_Area" localSheetId="2">'Sub6 n5'!$A$1:$P$75</definedName>
    <definedName name="_xlnm.Print_Area" localSheetId="3">'Sub6 n7'!$A$1:$P$85</definedName>
    <definedName name="_xlnm.Print_Area" localSheetId="11">'Sub6 n71'!$A$1:$P$75</definedName>
    <definedName name="_xlnm.Print_Area" localSheetId="12">'Sub6 n77'!$A$1:$P$85</definedName>
    <definedName name="_xlnm.Print_Area" localSheetId="13">'Sub6 n78'!$A$1:$P$85</definedName>
    <definedName name="_xlnm.Print_Area" localSheetId="14">'Sub6 n79'!$A$1:$P$85</definedName>
    <definedName name="_xlnm.Print_Area" localSheetId="4">'Sub6 n8'!$A$1:$P$75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4" i="45" l="1"/>
  <c r="H84" i="45"/>
  <c r="J84" i="45" s="1"/>
  <c r="G84" i="45"/>
  <c r="F84" i="45"/>
  <c r="L79" i="45"/>
  <c r="H79" i="45"/>
  <c r="J79" i="45" s="1"/>
  <c r="G79" i="45"/>
  <c r="F79" i="45"/>
  <c r="L72" i="45"/>
  <c r="J72" i="45"/>
  <c r="H72" i="45"/>
  <c r="G72" i="45"/>
  <c r="A72" i="45"/>
  <c r="L70" i="45"/>
  <c r="H70" i="45"/>
  <c r="J70" i="45" s="1"/>
  <c r="G70" i="45"/>
  <c r="F70" i="45"/>
  <c r="A70" i="45"/>
  <c r="L68" i="45"/>
  <c r="J68" i="45"/>
  <c r="H68" i="45"/>
  <c r="G68" i="45"/>
  <c r="A68" i="45"/>
  <c r="N67" i="45"/>
  <c r="N66" i="45"/>
  <c r="L66" i="45"/>
  <c r="H66" i="45"/>
  <c r="J66" i="45" s="1"/>
  <c r="G66" i="45"/>
  <c r="F66" i="45"/>
  <c r="A66" i="45"/>
  <c r="N65" i="45"/>
  <c r="N64" i="45"/>
  <c r="L61" i="45"/>
  <c r="H61" i="45"/>
  <c r="J61" i="45" s="1"/>
  <c r="G61" i="45"/>
  <c r="F61" i="45"/>
  <c r="L56" i="45"/>
  <c r="H56" i="45"/>
  <c r="J56" i="45" s="1"/>
  <c r="G56" i="45"/>
  <c r="F56" i="45"/>
  <c r="L42" i="45"/>
  <c r="H42" i="45"/>
  <c r="J42" i="45" s="1"/>
  <c r="G42" i="45"/>
  <c r="F42" i="45"/>
  <c r="L37" i="45"/>
  <c r="H37" i="45"/>
  <c r="J37" i="45" s="1"/>
  <c r="G37" i="45"/>
  <c r="F37" i="45"/>
  <c r="N31" i="45"/>
  <c r="N30" i="45"/>
  <c r="L30" i="45"/>
  <c r="H30" i="45"/>
  <c r="J30" i="45" s="1"/>
  <c r="G30" i="45"/>
  <c r="A30" i="45"/>
  <c r="F72" i="45" s="1"/>
  <c r="N29" i="45"/>
  <c r="N28" i="45"/>
  <c r="L28" i="45"/>
  <c r="H28" i="45"/>
  <c r="J28" i="45" s="1"/>
  <c r="G28" i="45"/>
  <c r="F28" i="45"/>
  <c r="A28" i="45"/>
  <c r="L26" i="45"/>
  <c r="H26" i="45"/>
  <c r="J26" i="45" s="1"/>
  <c r="G26" i="45"/>
  <c r="A26" i="45"/>
  <c r="F68" i="45" s="1"/>
  <c r="L24" i="45"/>
  <c r="H24" i="45"/>
  <c r="J24" i="45" s="1"/>
  <c r="G24" i="45"/>
  <c r="F24" i="45"/>
  <c r="A24" i="45"/>
  <c r="L19" i="45"/>
  <c r="H19" i="45"/>
  <c r="J19" i="45" s="1"/>
  <c r="G19" i="45"/>
  <c r="F19" i="45"/>
  <c r="L14" i="45"/>
  <c r="H14" i="45"/>
  <c r="J14" i="45" s="1"/>
  <c r="G14" i="45"/>
  <c r="F14" i="45"/>
  <c r="L84" i="44"/>
  <c r="J84" i="44"/>
  <c r="H84" i="44"/>
  <c r="G84" i="44"/>
  <c r="F84" i="44"/>
  <c r="L79" i="44"/>
  <c r="J79" i="44"/>
  <c r="H79" i="44"/>
  <c r="G79" i="44"/>
  <c r="F79" i="44"/>
  <c r="L72" i="44"/>
  <c r="J72" i="44"/>
  <c r="H72" i="44"/>
  <c r="G72" i="44"/>
  <c r="F72" i="44"/>
  <c r="A72" i="44"/>
  <c r="L70" i="44"/>
  <c r="J70" i="44"/>
  <c r="H70" i="44"/>
  <c r="G70" i="44"/>
  <c r="F70" i="44"/>
  <c r="A70" i="44"/>
  <c r="L68" i="44"/>
  <c r="J68" i="44"/>
  <c r="H68" i="44"/>
  <c r="G68" i="44"/>
  <c r="F68" i="44"/>
  <c r="A68" i="44"/>
  <c r="N67" i="44"/>
  <c r="N66" i="44"/>
  <c r="L66" i="44"/>
  <c r="J66" i="44"/>
  <c r="H66" i="44"/>
  <c r="G66" i="44"/>
  <c r="F66" i="44"/>
  <c r="A66" i="44"/>
  <c r="N65" i="44"/>
  <c r="N64" i="44"/>
  <c r="L61" i="44"/>
  <c r="J61" i="44"/>
  <c r="H61" i="44"/>
  <c r="G61" i="44"/>
  <c r="F61" i="44"/>
  <c r="L56" i="44"/>
  <c r="J56" i="44"/>
  <c r="H56" i="44"/>
  <c r="G56" i="44"/>
  <c r="F56" i="44"/>
  <c r="L42" i="44"/>
  <c r="J42" i="44"/>
  <c r="H42" i="44"/>
  <c r="G42" i="44"/>
  <c r="F42" i="44"/>
  <c r="L37" i="44"/>
  <c r="J37" i="44"/>
  <c r="H37" i="44"/>
  <c r="G37" i="44"/>
  <c r="F37" i="44"/>
  <c r="N31" i="44"/>
  <c r="N30" i="44"/>
  <c r="L30" i="44"/>
  <c r="J30" i="44"/>
  <c r="H30" i="44"/>
  <c r="G30" i="44"/>
  <c r="F30" i="44"/>
  <c r="A30" i="44"/>
  <c r="N29" i="44"/>
  <c r="N28" i="44"/>
  <c r="L28" i="44"/>
  <c r="J28" i="44"/>
  <c r="H28" i="44"/>
  <c r="G28" i="44"/>
  <c r="F28" i="44"/>
  <c r="A28" i="44"/>
  <c r="L26" i="44"/>
  <c r="J26" i="44"/>
  <c r="H26" i="44"/>
  <c r="G26" i="44"/>
  <c r="F26" i="44"/>
  <c r="A26" i="44"/>
  <c r="L24" i="44"/>
  <c r="J24" i="44"/>
  <c r="H24" i="44"/>
  <c r="G24" i="44"/>
  <c r="F24" i="44"/>
  <c r="A24" i="44"/>
  <c r="L19" i="44"/>
  <c r="J19" i="44"/>
  <c r="H19" i="44"/>
  <c r="G19" i="44"/>
  <c r="F19" i="44"/>
  <c r="L14" i="44"/>
  <c r="J14" i="44"/>
  <c r="H14" i="44"/>
  <c r="G14" i="44"/>
  <c r="F14" i="44"/>
  <c r="L84" i="43"/>
  <c r="J84" i="43"/>
  <c r="H84" i="43"/>
  <c r="G84" i="43"/>
  <c r="F84" i="43"/>
  <c r="L79" i="43"/>
  <c r="J79" i="43"/>
  <c r="H79" i="43"/>
  <c r="G79" i="43"/>
  <c r="F79" i="43"/>
  <c r="L72" i="43"/>
  <c r="J72" i="43"/>
  <c r="H72" i="43"/>
  <c r="G72" i="43"/>
  <c r="F72" i="43"/>
  <c r="A72" i="43"/>
  <c r="L70" i="43"/>
  <c r="J70" i="43"/>
  <c r="H70" i="43"/>
  <c r="G70" i="43"/>
  <c r="F70" i="43"/>
  <c r="A70" i="43"/>
  <c r="L68" i="43"/>
  <c r="J68" i="43"/>
  <c r="H68" i="43"/>
  <c r="G68" i="43"/>
  <c r="F68" i="43"/>
  <c r="A68" i="43"/>
  <c r="N67" i="43"/>
  <c r="N66" i="43"/>
  <c r="L66" i="43"/>
  <c r="J66" i="43"/>
  <c r="H66" i="43"/>
  <c r="G66" i="43"/>
  <c r="F66" i="43"/>
  <c r="A66" i="43"/>
  <c r="N65" i="43"/>
  <c r="N64" i="43"/>
  <c r="L61" i="43"/>
  <c r="J61" i="43"/>
  <c r="H61" i="43"/>
  <c r="G61" i="43"/>
  <c r="F61" i="43"/>
  <c r="L56" i="43"/>
  <c r="J56" i="43"/>
  <c r="H56" i="43"/>
  <c r="G56" i="43"/>
  <c r="F56" i="43"/>
  <c r="L42" i="43"/>
  <c r="J42" i="43"/>
  <c r="H42" i="43"/>
  <c r="G42" i="43"/>
  <c r="F42" i="43"/>
  <c r="L37" i="43"/>
  <c r="J37" i="43"/>
  <c r="H37" i="43"/>
  <c r="G37" i="43"/>
  <c r="F37" i="43"/>
  <c r="N31" i="43"/>
  <c r="N30" i="43"/>
  <c r="L30" i="43"/>
  <c r="J30" i="43"/>
  <c r="H30" i="43"/>
  <c r="G30" i="43"/>
  <c r="F30" i="43"/>
  <c r="A30" i="43"/>
  <c r="N29" i="43"/>
  <c r="N28" i="43"/>
  <c r="L28" i="43"/>
  <c r="J28" i="43"/>
  <c r="H28" i="43"/>
  <c r="G28" i="43"/>
  <c r="F28" i="43"/>
  <c r="A28" i="43"/>
  <c r="L26" i="43"/>
  <c r="J26" i="43"/>
  <c r="H26" i="43"/>
  <c r="G26" i="43"/>
  <c r="F26" i="43"/>
  <c r="A26" i="43"/>
  <c r="L24" i="43"/>
  <c r="J24" i="43"/>
  <c r="H24" i="43"/>
  <c r="G24" i="43"/>
  <c r="F24" i="43"/>
  <c r="A24" i="43"/>
  <c r="L19" i="43"/>
  <c r="J19" i="43"/>
  <c r="H19" i="43"/>
  <c r="G19" i="43"/>
  <c r="F19" i="43"/>
  <c r="L14" i="43"/>
  <c r="J14" i="43"/>
  <c r="H14" i="43"/>
  <c r="G14" i="43"/>
  <c r="F14" i="43"/>
  <c r="L84" i="42"/>
  <c r="H84" i="42"/>
  <c r="J84" i="42" s="1"/>
  <c r="G84" i="42"/>
  <c r="F84" i="42"/>
  <c r="L79" i="42"/>
  <c r="H79" i="42"/>
  <c r="J79" i="42" s="1"/>
  <c r="G79" i="42"/>
  <c r="F79" i="42"/>
  <c r="L72" i="42"/>
  <c r="J72" i="42"/>
  <c r="H72" i="42"/>
  <c r="G72" i="42"/>
  <c r="A72" i="42"/>
  <c r="L70" i="42"/>
  <c r="H70" i="42"/>
  <c r="J70" i="42" s="1"/>
  <c r="G70" i="42"/>
  <c r="F70" i="42"/>
  <c r="A70" i="42"/>
  <c r="L68" i="42"/>
  <c r="J68" i="42"/>
  <c r="H68" i="42"/>
  <c r="G68" i="42"/>
  <c r="A68" i="42"/>
  <c r="N67" i="42"/>
  <c r="N66" i="42"/>
  <c r="L66" i="42"/>
  <c r="H66" i="42"/>
  <c r="J66" i="42" s="1"/>
  <c r="G66" i="42"/>
  <c r="F66" i="42"/>
  <c r="A66" i="42"/>
  <c r="N65" i="42"/>
  <c r="N64" i="42"/>
  <c r="L61" i="42"/>
  <c r="J61" i="42"/>
  <c r="H61" i="42"/>
  <c r="G61" i="42"/>
  <c r="F61" i="42"/>
  <c r="L56" i="42"/>
  <c r="H56" i="42"/>
  <c r="J56" i="42" s="1"/>
  <c r="G56" i="42"/>
  <c r="F56" i="42"/>
  <c r="L42" i="42"/>
  <c r="H42" i="42"/>
  <c r="J42" i="42" s="1"/>
  <c r="G42" i="42"/>
  <c r="F42" i="42"/>
  <c r="L37" i="42"/>
  <c r="H37" i="42"/>
  <c r="J37" i="42" s="1"/>
  <c r="G37" i="42"/>
  <c r="F37" i="42"/>
  <c r="N31" i="42"/>
  <c r="N30" i="42"/>
  <c r="L30" i="42"/>
  <c r="H30" i="42"/>
  <c r="J30" i="42" s="1"/>
  <c r="G30" i="42"/>
  <c r="A30" i="42"/>
  <c r="F72" i="42" s="1"/>
  <c r="N29" i="42"/>
  <c r="N28" i="42"/>
  <c r="L28" i="42"/>
  <c r="H28" i="42"/>
  <c r="J28" i="42" s="1"/>
  <c r="G28" i="42"/>
  <c r="F28" i="42"/>
  <c r="A28" i="42"/>
  <c r="L26" i="42"/>
  <c r="J26" i="42"/>
  <c r="H26" i="42"/>
  <c r="G26" i="42"/>
  <c r="A26" i="42"/>
  <c r="F26" i="42" s="1"/>
  <c r="L24" i="42"/>
  <c r="H24" i="42"/>
  <c r="J24" i="42" s="1"/>
  <c r="G24" i="42"/>
  <c r="F24" i="42"/>
  <c r="A24" i="42"/>
  <c r="L19" i="42"/>
  <c r="J19" i="42"/>
  <c r="H19" i="42"/>
  <c r="G19" i="42"/>
  <c r="F19" i="42"/>
  <c r="L14" i="42"/>
  <c r="H14" i="42"/>
  <c r="J14" i="42" s="1"/>
  <c r="G14" i="42"/>
  <c r="F14" i="42"/>
  <c r="L84" i="41"/>
  <c r="J84" i="41"/>
  <c r="H84" i="41"/>
  <c r="G84" i="41"/>
  <c r="F84" i="41"/>
  <c r="L79" i="41"/>
  <c r="J79" i="41"/>
  <c r="H79" i="41"/>
  <c r="G79" i="41"/>
  <c r="F79" i="41"/>
  <c r="L72" i="41"/>
  <c r="J72" i="41"/>
  <c r="H72" i="41"/>
  <c r="G72" i="41"/>
  <c r="F72" i="41"/>
  <c r="A72" i="41"/>
  <c r="L70" i="41"/>
  <c r="J70" i="41"/>
  <c r="H70" i="41"/>
  <c r="G70" i="41"/>
  <c r="F70" i="41"/>
  <c r="A70" i="41"/>
  <c r="L68" i="41"/>
  <c r="J68" i="41"/>
  <c r="H68" i="41"/>
  <c r="G68" i="41"/>
  <c r="F68" i="41"/>
  <c r="A68" i="41"/>
  <c r="N67" i="41"/>
  <c r="N66" i="41"/>
  <c r="L66" i="41"/>
  <c r="J66" i="41"/>
  <c r="H66" i="41"/>
  <c r="G66" i="41"/>
  <c r="F66" i="41"/>
  <c r="A66" i="41"/>
  <c r="N65" i="41"/>
  <c r="N64" i="41"/>
  <c r="L61" i="41"/>
  <c r="J61" i="41"/>
  <c r="H61" i="41"/>
  <c r="G61" i="41"/>
  <c r="F61" i="41"/>
  <c r="L56" i="41"/>
  <c r="J56" i="41"/>
  <c r="H56" i="41"/>
  <c r="G56" i="41"/>
  <c r="F56" i="41"/>
  <c r="L42" i="41"/>
  <c r="J42" i="41"/>
  <c r="H42" i="41"/>
  <c r="G42" i="41"/>
  <c r="F42" i="41"/>
  <c r="L37" i="41"/>
  <c r="J37" i="41"/>
  <c r="H37" i="41"/>
  <c r="G37" i="41"/>
  <c r="F37" i="41"/>
  <c r="N31" i="41"/>
  <c r="N30" i="41"/>
  <c r="L30" i="41"/>
  <c r="J30" i="41"/>
  <c r="H30" i="41"/>
  <c r="G30" i="41"/>
  <c r="F30" i="41"/>
  <c r="A30" i="41"/>
  <c r="N29" i="41"/>
  <c r="N28" i="41"/>
  <c r="L28" i="41"/>
  <c r="J28" i="41"/>
  <c r="H28" i="41"/>
  <c r="G28" i="41"/>
  <c r="F28" i="41"/>
  <c r="A28" i="41"/>
  <c r="L26" i="41"/>
  <c r="J26" i="41"/>
  <c r="H26" i="41"/>
  <c r="G26" i="41"/>
  <c r="F26" i="41"/>
  <c r="A26" i="41"/>
  <c r="L24" i="41"/>
  <c r="J24" i="41"/>
  <c r="H24" i="41"/>
  <c r="G24" i="41"/>
  <c r="F24" i="41"/>
  <c r="A24" i="41"/>
  <c r="L19" i="41"/>
  <c r="J19" i="41"/>
  <c r="H19" i="41"/>
  <c r="G19" i="41"/>
  <c r="F19" i="41"/>
  <c r="L14" i="41"/>
  <c r="J14" i="41"/>
  <c r="H14" i="41"/>
  <c r="G14" i="41"/>
  <c r="F14" i="41"/>
  <c r="L74" i="40"/>
  <c r="H74" i="40"/>
  <c r="J74" i="40" s="1"/>
  <c r="G74" i="40"/>
  <c r="F74" i="40"/>
  <c r="L69" i="40"/>
  <c r="H69" i="40"/>
  <c r="J69" i="40" s="1"/>
  <c r="G69" i="40"/>
  <c r="F69" i="40"/>
  <c r="L62" i="40"/>
  <c r="J62" i="40"/>
  <c r="H62" i="40"/>
  <c r="G62" i="40"/>
  <c r="A62" i="40"/>
  <c r="L60" i="40"/>
  <c r="H60" i="40"/>
  <c r="J60" i="40" s="1"/>
  <c r="G60" i="40"/>
  <c r="A60" i="40"/>
  <c r="L58" i="40"/>
  <c r="J58" i="40"/>
  <c r="H58" i="40"/>
  <c r="G58" i="40"/>
  <c r="A58" i="40"/>
  <c r="N57" i="40"/>
  <c r="N56" i="40"/>
  <c r="L56" i="40"/>
  <c r="H56" i="40"/>
  <c r="J56" i="40" s="1"/>
  <c r="G56" i="40"/>
  <c r="F56" i="40"/>
  <c r="A56" i="40"/>
  <c r="N55" i="40"/>
  <c r="N54" i="40"/>
  <c r="L51" i="40"/>
  <c r="H51" i="40"/>
  <c r="J51" i="40" s="1"/>
  <c r="G51" i="40"/>
  <c r="F51" i="40"/>
  <c r="L37" i="40"/>
  <c r="H37" i="40"/>
  <c r="J37" i="40" s="1"/>
  <c r="G37" i="40"/>
  <c r="F37" i="40"/>
  <c r="L32" i="40"/>
  <c r="H32" i="40"/>
  <c r="J32" i="40" s="1"/>
  <c r="G32" i="40"/>
  <c r="F32" i="40"/>
  <c r="N26" i="40"/>
  <c r="N25" i="40"/>
  <c r="L25" i="40"/>
  <c r="H25" i="40"/>
  <c r="J25" i="40" s="1"/>
  <c r="G25" i="40"/>
  <c r="F25" i="40"/>
  <c r="A25" i="40"/>
  <c r="F62" i="40" s="1"/>
  <c r="N24" i="40"/>
  <c r="N23" i="40"/>
  <c r="L23" i="40"/>
  <c r="H23" i="40"/>
  <c r="J23" i="40" s="1"/>
  <c r="G23" i="40"/>
  <c r="A23" i="40"/>
  <c r="F23" i="40" s="1"/>
  <c r="L21" i="40"/>
  <c r="H21" i="40"/>
  <c r="J21" i="40" s="1"/>
  <c r="G21" i="40"/>
  <c r="A21" i="40"/>
  <c r="F21" i="40" s="1"/>
  <c r="L19" i="40"/>
  <c r="H19" i="40"/>
  <c r="J19" i="40" s="1"/>
  <c r="G19" i="40"/>
  <c r="A19" i="40"/>
  <c r="F19" i="40" s="1"/>
  <c r="L14" i="40"/>
  <c r="H14" i="40"/>
  <c r="J14" i="40" s="1"/>
  <c r="G14" i="40"/>
  <c r="F14" i="40"/>
  <c r="L74" i="39"/>
  <c r="J74" i="39"/>
  <c r="H74" i="39"/>
  <c r="G74" i="39"/>
  <c r="F74" i="39"/>
  <c r="L69" i="39"/>
  <c r="J69" i="39"/>
  <c r="H69" i="39"/>
  <c r="G69" i="39"/>
  <c r="F69" i="39"/>
  <c r="L62" i="39"/>
  <c r="J62" i="39"/>
  <c r="H62" i="39"/>
  <c r="G62" i="39"/>
  <c r="F62" i="39"/>
  <c r="A62" i="39"/>
  <c r="L60" i="39"/>
  <c r="J60" i="39"/>
  <c r="H60" i="39"/>
  <c r="G60" i="39"/>
  <c r="F60" i="39"/>
  <c r="A60" i="39"/>
  <c r="L58" i="39"/>
  <c r="J58" i="39"/>
  <c r="H58" i="39"/>
  <c r="G58" i="39"/>
  <c r="F58" i="39"/>
  <c r="A58" i="39"/>
  <c r="N57" i="39"/>
  <c r="N56" i="39"/>
  <c r="L56" i="39"/>
  <c r="J56" i="39"/>
  <c r="H56" i="39"/>
  <c r="G56" i="39"/>
  <c r="F56" i="39"/>
  <c r="A56" i="39"/>
  <c r="N55" i="39"/>
  <c r="N54" i="39"/>
  <c r="L51" i="39"/>
  <c r="J51" i="39"/>
  <c r="H51" i="39"/>
  <c r="G51" i="39"/>
  <c r="F51" i="39"/>
  <c r="L37" i="39"/>
  <c r="J37" i="39"/>
  <c r="H37" i="39"/>
  <c r="G37" i="39"/>
  <c r="F37" i="39"/>
  <c r="L32" i="39"/>
  <c r="J32" i="39"/>
  <c r="H32" i="39"/>
  <c r="G32" i="39"/>
  <c r="F32" i="39"/>
  <c r="N26" i="39"/>
  <c r="N25" i="39"/>
  <c r="L25" i="39"/>
  <c r="J25" i="39"/>
  <c r="H25" i="39"/>
  <c r="G25" i="39"/>
  <c r="F25" i="39"/>
  <c r="A25" i="39"/>
  <c r="N24" i="39"/>
  <c r="N23" i="39"/>
  <c r="L23" i="39"/>
  <c r="J23" i="39"/>
  <c r="H23" i="39"/>
  <c r="G23" i="39"/>
  <c r="F23" i="39"/>
  <c r="A23" i="39"/>
  <c r="L21" i="39"/>
  <c r="J21" i="39"/>
  <c r="H21" i="39"/>
  <c r="G21" i="39"/>
  <c r="F21" i="39"/>
  <c r="A21" i="39"/>
  <c r="L19" i="39"/>
  <c r="J19" i="39"/>
  <c r="H19" i="39"/>
  <c r="G19" i="39"/>
  <c r="F19" i="39"/>
  <c r="A19" i="39"/>
  <c r="L14" i="39"/>
  <c r="J14" i="39"/>
  <c r="H14" i="39"/>
  <c r="G14" i="39"/>
  <c r="F14" i="39"/>
  <c r="L74" i="38"/>
  <c r="H74" i="38"/>
  <c r="J74" i="38" s="1"/>
  <c r="G74" i="38"/>
  <c r="F74" i="38"/>
  <c r="L69" i="38"/>
  <c r="H69" i="38"/>
  <c r="J69" i="38" s="1"/>
  <c r="G69" i="38"/>
  <c r="F69" i="38"/>
  <c r="L62" i="38"/>
  <c r="H62" i="38"/>
  <c r="J62" i="38" s="1"/>
  <c r="G62" i="38"/>
  <c r="F62" i="38"/>
  <c r="A62" i="38"/>
  <c r="L60" i="38"/>
  <c r="J60" i="38"/>
  <c r="H60" i="38"/>
  <c r="G60" i="38"/>
  <c r="A60" i="38"/>
  <c r="L58" i="38"/>
  <c r="H58" i="38"/>
  <c r="J58" i="38" s="1"/>
  <c r="G58" i="38"/>
  <c r="A58" i="38"/>
  <c r="N57" i="38"/>
  <c r="N56" i="38"/>
  <c r="L56" i="38"/>
  <c r="H56" i="38"/>
  <c r="J56" i="38" s="1"/>
  <c r="G56" i="38"/>
  <c r="F56" i="38"/>
  <c r="A56" i="38"/>
  <c r="N55" i="38"/>
  <c r="N54" i="38"/>
  <c r="L51" i="38"/>
  <c r="J51" i="38"/>
  <c r="H51" i="38"/>
  <c r="G51" i="38"/>
  <c r="F51" i="38"/>
  <c r="L37" i="38"/>
  <c r="H37" i="38"/>
  <c r="J37" i="38" s="1"/>
  <c r="G37" i="38"/>
  <c r="F37" i="38"/>
  <c r="L32" i="38"/>
  <c r="H32" i="38"/>
  <c r="J32" i="38" s="1"/>
  <c r="G32" i="38"/>
  <c r="F32" i="38"/>
  <c r="N26" i="38"/>
  <c r="N25" i="38"/>
  <c r="L25" i="38"/>
  <c r="H25" i="38"/>
  <c r="J25" i="38" s="1"/>
  <c r="G25" i="38"/>
  <c r="A25" i="38"/>
  <c r="F25" i="38" s="1"/>
  <c r="N24" i="38"/>
  <c r="N23" i="38"/>
  <c r="L23" i="38"/>
  <c r="H23" i="38"/>
  <c r="J23" i="38" s="1"/>
  <c r="G23" i="38"/>
  <c r="A23" i="38"/>
  <c r="F23" i="38" s="1"/>
  <c r="L21" i="38"/>
  <c r="H21" i="38"/>
  <c r="J21" i="38" s="1"/>
  <c r="G21" i="38"/>
  <c r="A21" i="38"/>
  <c r="F21" i="38" s="1"/>
  <c r="L19" i="38"/>
  <c r="H19" i="38"/>
  <c r="J19" i="38" s="1"/>
  <c r="G19" i="38"/>
  <c r="A19" i="38"/>
  <c r="F19" i="38" s="1"/>
  <c r="L14" i="38"/>
  <c r="H14" i="38"/>
  <c r="J14" i="38" s="1"/>
  <c r="G14" i="38"/>
  <c r="F14" i="38"/>
  <c r="L74" i="37"/>
  <c r="H74" i="37"/>
  <c r="J74" i="37" s="1"/>
  <c r="G74" i="37"/>
  <c r="F74" i="37"/>
  <c r="L69" i="37"/>
  <c r="J69" i="37"/>
  <c r="H69" i="37"/>
  <c r="G69" i="37"/>
  <c r="F69" i="37"/>
  <c r="L62" i="37"/>
  <c r="J62" i="37"/>
  <c r="H62" i="37"/>
  <c r="G62" i="37"/>
  <c r="A62" i="37"/>
  <c r="L60" i="37"/>
  <c r="H60" i="37"/>
  <c r="J60" i="37" s="1"/>
  <c r="G60" i="37"/>
  <c r="A60" i="37"/>
  <c r="L58" i="37"/>
  <c r="J58" i="37"/>
  <c r="H58" i="37"/>
  <c r="G58" i="37"/>
  <c r="A58" i="37"/>
  <c r="N57" i="37"/>
  <c r="N56" i="37"/>
  <c r="L56" i="37"/>
  <c r="H56" i="37"/>
  <c r="J56" i="37" s="1"/>
  <c r="G56" i="37"/>
  <c r="F56" i="37"/>
  <c r="A56" i="37"/>
  <c r="N55" i="37"/>
  <c r="N54" i="37"/>
  <c r="L51" i="37"/>
  <c r="H51" i="37"/>
  <c r="J51" i="37" s="1"/>
  <c r="G51" i="37"/>
  <c r="F51" i="37"/>
  <c r="L37" i="37"/>
  <c r="H37" i="37"/>
  <c r="J37" i="37" s="1"/>
  <c r="G37" i="37"/>
  <c r="F37" i="37"/>
  <c r="L32" i="37"/>
  <c r="H32" i="37"/>
  <c r="J32" i="37" s="1"/>
  <c r="G32" i="37"/>
  <c r="F32" i="37"/>
  <c r="N26" i="37"/>
  <c r="N25" i="37"/>
  <c r="L25" i="37"/>
  <c r="H25" i="37"/>
  <c r="J25" i="37" s="1"/>
  <c r="G25" i="37"/>
  <c r="F25" i="37"/>
  <c r="A25" i="37"/>
  <c r="F62" i="37" s="1"/>
  <c r="N24" i="37"/>
  <c r="N23" i="37"/>
  <c r="L23" i="37"/>
  <c r="H23" i="37"/>
  <c r="J23" i="37" s="1"/>
  <c r="G23" i="37"/>
  <c r="A23" i="37"/>
  <c r="F23" i="37" s="1"/>
  <c r="L21" i="37"/>
  <c r="H21" i="37"/>
  <c r="J21" i="37" s="1"/>
  <c r="G21" i="37"/>
  <c r="A21" i="37"/>
  <c r="F21" i="37" s="1"/>
  <c r="L19" i="37"/>
  <c r="H19" i="37"/>
  <c r="J19" i="37" s="1"/>
  <c r="G19" i="37"/>
  <c r="A19" i="37"/>
  <c r="F19" i="37" s="1"/>
  <c r="L14" i="37"/>
  <c r="H14" i="37"/>
  <c r="J14" i="37" s="1"/>
  <c r="G14" i="37"/>
  <c r="F14" i="37"/>
  <c r="L74" i="36"/>
  <c r="H74" i="36"/>
  <c r="J74" i="36" s="1"/>
  <c r="G74" i="36"/>
  <c r="F74" i="36"/>
  <c r="L69" i="36"/>
  <c r="H69" i="36"/>
  <c r="J69" i="36" s="1"/>
  <c r="G69" i="36"/>
  <c r="F69" i="36"/>
  <c r="L62" i="36"/>
  <c r="J62" i="36"/>
  <c r="H62" i="36"/>
  <c r="G62" i="36"/>
  <c r="A62" i="36"/>
  <c r="L60" i="36"/>
  <c r="H60" i="36"/>
  <c r="J60" i="36" s="1"/>
  <c r="G60" i="36"/>
  <c r="A60" i="36"/>
  <c r="L58" i="36"/>
  <c r="J58" i="36"/>
  <c r="H58" i="36"/>
  <c r="G58" i="36"/>
  <c r="A58" i="36"/>
  <c r="N57" i="36"/>
  <c r="N56" i="36"/>
  <c r="L56" i="36"/>
  <c r="H56" i="36"/>
  <c r="J56" i="36" s="1"/>
  <c r="G56" i="36"/>
  <c r="F56" i="36"/>
  <c r="A56" i="36"/>
  <c r="N55" i="36"/>
  <c r="N54" i="36"/>
  <c r="L51" i="36"/>
  <c r="J51" i="36"/>
  <c r="H51" i="36"/>
  <c r="G51" i="36"/>
  <c r="F51" i="36"/>
  <c r="L37" i="36"/>
  <c r="H37" i="36"/>
  <c r="J37" i="36" s="1"/>
  <c r="G37" i="36"/>
  <c r="F37" i="36"/>
  <c r="L32" i="36"/>
  <c r="H32" i="36"/>
  <c r="J32" i="36" s="1"/>
  <c r="G32" i="36"/>
  <c r="F32" i="36"/>
  <c r="N26" i="36"/>
  <c r="N25" i="36"/>
  <c r="L25" i="36"/>
  <c r="H25" i="36"/>
  <c r="J25" i="36" s="1"/>
  <c r="G25" i="36"/>
  <c r="F25" i="36"/>
  <c r="A25" i="36"/>
  <c r="F62" i="36" s="1"/>
  <c r="N24" i="36"/>
  <c r="N23" i="36"/>
  <c r="L23" i="36"/>
  <c r="H23" i="36"/>
  <c r="J23" i="36" s="1"/>
  <c r="G23" i="36"/>
  <c r="A23" i="36"/>
  <c r="F23" i="36" s="1"/>
  <c r="L21" i="36"/>
  <c r="H21" i="36"/>
  <c r="J21" i="36" s="1"/>
  <c r="G21" i="36"/>
  <c r="A21" i="36"/>
  <c r="F21" i="36" s="1"/>
  <c r="L19" i="36"/>
  <c r="H19" i="36"/>
  <c r="J19" i="36" s="1"/>
  <c r="G19" i="36"/>
  <c r="A19" i="36"/>
  <c r="F19" i="36" s="1"/>
  <c r="L14" i="36"/>
  <c r="H14" i="36"/>
  <c r="J14" i="36" s="1"/>
  <c r="G14" i="36"/>
  <c r="F14" i="36"/>
  <c r="L84" i="35"/>
  <c r="J84" i="35"/>
  <c r="H84" i="35"/>
  <c r="G84" i="35"/>
  <c r="F84" i="35"/>
  <c r="L79" i="35"/>
  <c r="J79" i="35"/>
  <c r="H79" i="35"/>
  <c r="G79" i="35"/>
  <c r="F79" i="35"/>
  <c r="L72" i="35"/>
  <c r="J72" i="35"/>
  <c r="H72" i="35"/>
  <c r="G72" i="35"/>
  <c r="F72" i="35"/>
  <c r="A72" i="35"/>
  <c r="L70" i="35"/>
  <c r="J70" i="35"/>
  <c r="H70" i="35"/>
  <c r="G70" i="35"/>
  <c r="F70" i="35"/>
  <c r="A70" i="35"/>
  <c r="L68" i="35"/>
  <c r="J68" i="35"/>
  <c r="H68" i="35"/>
  <c r="G68" i="35"/>
  <c r="F68" i="35"/>
  <c r="A68" i="35"/>
  <c r="N67" i="35"/>
  <c r="N66" i="35"/>
  <c r="L66" i="35"/>
  <c r="J66" i="35"/>
  <c r="H66" i="35"/>
  <c r="G66" i="35"/>
  <c r="F66" i="35"/>
  <c r="A66" i="35"/>
  <c r="N65" i="35"/>
  <c r="N64" i="35"/>
  <c r="L61" i="35"/>
  <c r="J61" i="35"/>
  <c r="H61" i="35"/>
  <c r="G61" i="35"/>
  <c r="F61" i="35"/>
  <c r="L56" i="35"/>
  <c r="J56" i="35"/>
  <c r="H56" i="35"/>
  <c r="G56" i="35"/>
  <c r="F56" i="35"/>
  <c r="L42" i="35"/>
  <c r="J42" i="35"/>
  <c r="H42" i="35"/>
  <c r="G42" i="35"/>
  <c r="F42" i="35"/>
  <c r="L37" i="35"/>
  <c r="J37" i="35"/>
  <c r="H37" i="35"/>
  <c r="G37" i="35"/>
  <c r="F37" i="35"/>
  <c r="N31" i="35"/>
  <c r="N30" i="35"/>
  <c r="L30" i="35"/>
  <c r="J30" i="35"/>
  <c r="H30" i="35"/>
  <c r="G30" i="35"/>
  <c r="F30" i="35"/>
  <c r="A30" i="35"/>
  <c r="N29" i="35"/>
  <c r="N28" i="35"/>
  <c r="L28" i="35"/>
  <c r="J28" i="35"/>
  <c r="H28" i="35"/>
  <c r="G28" i="35"/>
  <c r="F28" i="35"/>
  <c r="A28" i="35"/>
  <c r="L26" i="35"/>
  <c r="J26" i="35"/>
  <c r="H26" i="35"/>
  <c r="G26" i="35"/>
  <c r="F26" i="35"/>
  <c r="A26" i="35"/>
  <c r="L24" i="35"/>
  <c r="J24" i="35"/>
  <c r="H24" i="35"/>
  <c r="G24" i="35"/>
  <c r="F24" i="35"/>
  <c r="A24" i="35"/>
  <c r="L19" i="35"/>
  <c r="J19" i="35"/>
  <c r="H19" i="35"/>
  <c r="G19" i="35"/>
  <c r="F19" i="35"/>
  <c r="L14" i="35"/>
  <c r="J14" i="35"/>
  <c r="H14" i="35"/>
  <c r="G14" i="35"/>
  <c r="F14" i="35"/>
  <c r="L84" i="34"/>
  <c r="J84" i="34"/>
  <c r="H84" i="34"/>
  <c r="G84" i="34"/>
  <c r="F84" i="34"/>
  <c r="L79" i="34"/>
  <c r="J79" i="34"/>
  <c r="H79" i="34"/>
  <c r="G79" i="34"/>
  <c r="F79" i="34"/>
  <c r="L72" i="34"/>
  <c r="J72" i="34"/>
  <c r="H72" i="34"/>
  <c r="G72" i="34"/>
  <c r="F72" i="34"/>
  <c r="A72" i="34"/>
  <c r="L70" i="34"/>
  <c r="J70" i="34"/>
  <c r="H70" i="34"/>
  <c r="G70" i="34"/>
  <c r="F70" i="34"/>
  <c r="A70" i="34"/>
  <c r="L68" i="34"/>
  <c r="J68" i="34"/>
  <c r="H68" i="34"/>
  <c r="G68" i="34"/>
  <c r="F68" i="34"/>
  <c r="A68" i="34"/>
  <c r="N67" i="34"/>
  <c r="N66" i="34"/>
  <c r="L66" i="34"/>
  <c r="J66" i="34"/>
  <c r="H66" i="34"/>
  <c r="G66" i="34"/>
  <c r="F66" i="34"/>
  <c r="A66" i="34"/>
  <c r="N65" i="34"/>
  <c r="N64" i="34"/>
  <c r="L61" i="34"/>
  <c r="J61" i="34"/>
  <c r="H61" i="34"/>
  <c r="G61" i="34"/>
  <c r="F61" i="34"/>
  <c r="L56" i="34"/>
  <c r="J56" i="34"/>
  <c r="H56" i="34"/>
  <c r="G56" i="34"/>
  <c r="F56" i="34"/>
  <c r="L42" i="34"/>
  <c r="J42" i="34"/>
  <c r="H42" i="34"/>
  <c r="G42" i="34"/>
  <c r="F42" i="34"/>
  <c r="L37" i="34"/>
  <c r="J37" i="34"/>
  <c r="H37" i="34"/>
  <c r="G37" i="34"/>
  <c r="F37" i="34"/>
  <c r="N31" i="34"/>
  <c r="N30" i="34"/>
  <c r="L30" i="34"/>
  <c r="J30" i="34"/>
  <c r="H30" i="34"/>
  <c r="G30" i="34"/>
  <c r="F30" i="34"/>
  <c r="A30" i="34"/>
  <c r="N29" i="34"/>
  <c r="N28" i="34"/>
  <c r="L28" i="34"/>
  <c r="J28" i="34"/>
  <c r="H28" i="34"/>
  <c r="G28" i="34"/>
  <c r="F28" i="34"/>
  <c r="A28" i="34"/>
  <c r="L26" i="34"/>
  <c r="J26" i="34"/>
  <c r="H26" i="34"/>
  <c r="G26" i="34"/>
  <c r="F26" i="34"/>
  <c r="A26" i="34"/>
  <c r="L24" i="34"/>
  <c r="J24" i="34"/>
  <c r="H24" i="34"/>
  <c r="G24" i="34"/>
  <c r="F24" i="34"/>
  <c r="A24" i="34"/>
  <c r="L19" i="34"/>
  <c r="J19" i="34"/>
  <c r="H19" i="34"/>
  <c r="G19" i="34"/>
  <c r="F19" i="34"/>
  <c r="L14" i="34"/>
  <c r="J14" i="34"/>
  <c r="H14" i="34"/>
  <c r="G14" i="34"/>
  <c r="F14" i="34"/>
  <c r="F30" i="45" l="1"/>
  <c r="F26" i="45"/>
  <c r="F30" i="42"/>
  <c r="F68" i="42"/>
  <c r="F60" i="40"/>
  <c r="F58" i="40"/>
  <c r="F58" i="38"/>
  <c r="F60" i="38"/>
  <c r="F58" i="37"/>
  <c r="F60" i="37"/>
  <c r="F58" i="36"/>
  <c r="F60" i="36"/>
  <c r="A62" i="21"/>
  <c r="A60" i="21"/>
  <c r="A58" i="21"/>
  <c r="A56" i="21"/>
  <c r="L84" i="22" l="1"/>
  <c r="H84" i="22"/>
  <c r="J84" i="22" s="1"/>
  <c r="G84" i="22"/>
  <c r="F84" i="22"/>
  <c r="L79" i="22"/>
  <c r="H79" i="22"/>
  <c r="J79" i="22" s="1"/>
  <c r="G79" i="22"/>
  <c r="F79" i="22"/>
  <c r="N67" i="22"/>
  <c r="N66" i="22"/>
  <c r="L72" i="22"/>
  <c r="H72" i="22"/>
  <c r="J72" i="22" s="1"/>
  <c r="G72" i="22"/>
  <c r="A72" i="22"/>
  <c r="N65" i="22"/>
  <c r="N64" i="22"/>
  <c r="L70" i="22"/>
  <c r="H70" i="22"/>
  <c r="J70" i="22" s="1"/>
  <c r="G70" i="22"/>
  <c r="A70" i="22"/>
  <c r="L68" i="22"/>
  <c r="H68" i="22"/>
  <c r="J68" i="22" s="1"/>
  <c r="G68" i="22"/>
  <c r="A68" i="22"/>
  <c r="L66" i="22"/>
  <c r="H66" i="22"/>
  <c r="J66" i="22" s="1"/>
  <c r="G66" i="22"/>
  <c r="A66" i="22"/>
  <c r="L61" i="22"/>
  <c r="H61" i="22"/>
  <c r="J61" i="22" s="1"/>
  <c r="G61" i="22"/>
  <c r="F61" i="22"/>
  <c r="L56" i="22"/>
  <c r="H56" i="22"/>
  <c r="J56" i="22" s="1"/>
  <c r="G56" i="22"/>
  <c r="F56" i="22"/>
  <c r="L42" i="22"/>
  <c r="H42" i="22"/>
  <c r="J42" i="22" s="1"/>
  <c r="G42" i="22"/>
  <c r="F42" i="22"/>
  <c r="L37" i="22"/>
  <c r="H37" i="22"/>
  <c r="J37" i="22" s="1"/>
  <c r="G37" i="22"/>
  <c r="F37" i="22"/>
  <c r="N31" i="22"/>
  <c r="N30" i="22"/>
  <c r="L30" i="22"/>
  <c r="H30" i="22"/>
  <c r="J30" i="22" s="1"/>
  <c r="G30" i="22"/>
  <c r="A30" i="22"/>
  <c r="F30" i="22" s="1"/>
  <c r="N29" i="22"/>
  <c r="N28" i="22"/>
  <c r="L28" i="22"/>
  <c r="H28" i="22"/>
  <c r="J28" i="22" s="1"/>
  <c r="G28" i="22"/>
  <c r="A28" i="22"/>
  <c r="F70" i="22" s="1"/>
  <c r="L26" i="22"/>
  <c r="H26" i="22"/>
  <c r="J26" i="22" s="1"/>
  <c r="G26" i="22"/>
  <c r="A26" i="22"/>
  <c r="F68" i="22" s="1"/>
  <c r="L24" i="22"/>
  <c r="H24" i="22"/>
  <c r="J24" i="22" s="1"/>
  <c r="G24" i="22"/>
  <c r="A24" i="22"/>
  <c r="F24" i="22" s="1"/>
  <c r="L19" i="22"/>
  <c r="H19" i="22"/>
  <c r="J19" i="22" s="1"/>
  <c r="G19" i="22"/>
  <c r="F19" i="22"/>
  <c r="L14" i="22"/>
  <c r="H14" i="22"/>
  <c r="J14" i="22" s="1"/>
  <c r="G14" i="22"/>
  <c r="F14" i="22"/>
  <c r="L74" i="21"/>
  <c r="H74" i="21"/>
  <c r="J74" i="21" s="1"/>
  <c r="G74" i="21"/>
  <c r="F74" i="21"/>
  <c r="L69" i="21"/>
  <c r="H69" i="21"/>
  <c r="J69" i="21" s="1"/>
  <c r="G69" i="21"/>
  <c r="F69" i="21"/>
  <c r="N57" i="21"/>
  <c r="N56" i="21"/>
  <c r="L62" i="21"/>
  <c r="H62" i="21"/>
  <c r="J62" i="21" s="1"/>
  <c r="G62" i="21"/>
  <c r="N55" i="21"/>
  <c r="N54" i="21"/>
  <c r="L60" i="21"/>
  <c r="H60" i="21"/>
  <c r="J60" i="21" s="1"/>
  <c r="G60" i="21"/>
  <c r="L58" i="21"/>
  <c r="H58" i="21"/>
  <c r="J58" i="21" s="1"/>
  <c r="G58" i="21"/>
  <c r="L56" i="21"/>
  <c r="H56" i="21"/>
  <c r="J56" i="21" s="1"/>
  <c r="G56" i="21"/>
  <c r="L51" i="21"/>
  <c r="H51" i="21"/>
  <c r="J51" i="21" s="1"/>
  <c r="G51" i="21"/>
  <c r="F51" i="21"/>
  <c r="L37" i="21"/>
  <c r="H37" i="21"/>
  <c r="J37" i="21" s="1"/>
  <c r="G37" i="21"/>
  <c r="F37" i="21"/>
  <c r="L32" i="21"/>
  <c r="H32" i="21"/>
  <c r="J32" i="21" s="1"/>
  <c r="G32" i="21"/>
  <c r="F32" i="21"/>
  <c r="N26" i="21"/>
  <c r="N25" i="21"/>
  <c r="L25" i="21"/>
  <c r="H25" i="21"/>
  <c r="J25" i="21" s="1"/>
  <c r="G25" i="21"/>
  <c r="A25" i="21"/>
  <c r="N24" i="21"/>
  <c r="N23" i="21"/>
  <c r="L23" i="21"/>
  <c r="H23" i="21"/>
  <c r="J23" i="21" s="1"/>
  <c r="G23" i="21"/>
  <c r="A23" i="21"/>
  <c r="L21" i="21"/>
  <c r="H21" i="21"/>
  <c r="J21" i="21" s="1"/>
  <c r="G21" i="21"/>
  <c r="A21" i="21"/>
  <c r="L19" i="21"/>
  <c r="H19" i="21"/>
  <c r="J19" i="21" s="1"/>
  <c r="G19" i="21"/>
  <c r="A19" i="21"/>
  <c r="F56" i="21" s="1"/>
  <c r="L14" i="21"/>
  <c r="H14" i="21"/>
  <c r="J14" i="21" s="1"/>
  <c r="G14" i="21"/>
  <c r="F14" i="21"/>
  <c r="F23" i="21" l="1"/>
  <c r="F60" i="21"/>
  <c r="F25" i="21"/>
  <c r="F62" i="21"/>
  <c r="F21" i="21"/>
  <c r="F58" i="21"/>
  <c r="F26" i="22"/>
  <c r="F72" i="22"/>
  <c r="F28" i="22"/>
  <c r="F66" i="22"/>
  <c r="F19" i="21"/>
  <c r="N67" i="9" l="1"/>
  <c r="N66" i="9"/>
  <c r="N65" i="9"/>
  <c r="N64" i="9"/>
  <c r="N31" i="9"/>
  <c r="N30" i="9"/>
  <c r="N29" i="9"/>
  <c r="N28" i="9"/>
  <c r="A72" i="9" l="1"/>
  <c r="A70" i="9"/>
  <c r="A68" i="9"/>
  <c r="A66" i="9"/>
  <c r="A30" i="9"/>
  <c r="F30" i="9" s="1"/>
  <c r="A28" i="9"/>
  <c r="F70" i="9" s="1"/>
  <c r="A26" i="9"/>
  <c r="F26" i="9" s="1"/>
  <c r="A24" i="9"/>
  <c r="F24" i="9" s="1"/>
  <c r="L84" i="9"/>
  <c r="H84" i="9"/>
  <c r="J84" i="9" s="1"/>
  <c r="G84" i="9"/>
  <c r="F84" i="9"/>
  <c r="L79" i="9"/>
  <c r="H79" i="9"/>
  <c r="J79" i="9" s="1"/>
  <c r="G79" i="9"/>
  <c r="F79" i="9"/>
  <c r="H72" i="9"/>
  <c r="J72" i="9" s="1"/>
  <c r="G72" i="9"/>
  <c r="F72" i="9"/>
  <c r="H70" i="9"/>
  <c r="J70" i="9" s="1"/>
  <c r="G70" i="9"/>
  <c r="H68" i="9"/>
  <c r="J68" i="9" s="1"/>
  <c r="G68" i="9"/>
  <c r="H66" i="9"/>
  <c r="J66" i="9" s="1"/>
  <c r="G66" i="9"/>
  <c r="L61" i="9"/>
  <c r="H61" i="9"/>
  <c r="J61" i="9" s="1"/>
  <c r="G61" i="9"/>
  <c r="F61" i="9"/>
  <c r="L56" i="9"/>
  <c r="H56" i="9"/>
  <c r="J56" i="9" s="1"/>
  <c r="G56" i="9"/>
  <c r="F56" i="9"/>
  <c r="L42" i="9"/>
  <c r="H42" i="9"/>
  <c r="J42" i="9" s="1"/>
  <c r="G42" i="9"/>
  <c r="F42" i="9"/>
  <c r="L37" i="9"/>
  <c r="H37" i="9"/>
  <c r="J37" i="9" s="1"/>
  <c r="G37" i="9"/>
  <c r="F37" i="9"/>
  <c r="L30" i="9"/>
  <c r="H30" i="9"/>
  <c r="J30" i="9" s="1"/>
  <c r="G30" i="9"/>
  <c r="H28" i="9"/>
  <c r="J28" i="9" s="1"/>
  <c r="G28" i="9"/>
  <c r="H26" i="9"/>
  <c r="G26" i="9"/>
  <c r="H24" i="9"/>
  <c r="G24" i="9"/>
  <c r="L19" i="9"/>
  <c r="H19" i="9"/>
  <c r="J19" i="9" s="1"/>
  <c r="G19" i="9"/>
  <c r="F19" i="9"/>
  <c r="L14" i="9"/>
  <c r="H14" i="9"/>
  <c r="J14" i="9" s="1"/>
  <c r="G14" i="9"/>
  <c r="F14" i="9"/>
  <c r="L72" i="9" l="1"/>
  <c r="L68" i="9"/>
  <c r="L70" i="9"/>
  <c r="L66" i="9"/>
  <c r="L28" i="9"/>
  <c r="F28" i="9"/>
  <c r="F66" i="9"/>
  <c r="F68" i="9"/>
  <c r="J26" i="9"/>
  <c r="L26" i="9" s="1"/>
  <c r="J24" i="9"/>
  <c r="L24" i="9" s="1"/>
</calcChain>
</file>

<file path=xl/sharedStrings.xml><?xml version="1.0" encoding="utf-8"?>
<sst xmlns="http://schemas.openxmlformats.org/spreadsheetml/2006/main" count="3675" uniqueCount="75">
  <si>
    <t>H</t>
  </si>
  <si>
    <t>V</t>
  </si>
  <si>
    <t>Pol.</t>
    <phoneticPr fontId="4" type="noConversion"/>
  </si>
  <si>
    <t>Z</t>
    <phoneticPr fontId="4" type="noConversion"/>
  </si>
  <si>
    <t>X</t>
    <phoneticPr fontId="4" type="noConversion"/>
  </si>
  <si>
    <t>1 - 18G</t>
    <phoneticPr fontId="1" type="noConversion"/>
  </si>
  <si>
    <t>30M - 1G</t>
    <phoneticPr fontId="1" type="noConversion"/>
  </si>
  <si>
    <t>30M-1G</t>
    <phoneticPr fontId="1" type="noConversion"/>
  </si>
  <si>
    <t>Note</t>
  </si>
  <si>
    <t>RMS</t>
    <phoneticPr fontId="1" type="noConversion"/>
  </si>
  <si>
    <t>Detector</t>
  </si>
  <si>
    <t>Harmonic</t>
  </si>
  <si>
    <t>-</t>
  </si>
  <si>
    <t>TEST DATE</t>
  </si>
  <si>
    <t>X</t>
    <phoneticPr fontId="1" type="noConversion"/>
  </si>
  <si>
    <t>Y</t>
    <phoneticPr fontId="1" type="noConversion"/>
  </si>
  <si>
    <t>Z</t>
    <phoneticPr fontId="1" type="noConversion"/>
  </si>
  <si>
    <t>Pol.</t>
    <phoneticPr fontId="1" type="noConversion"/>
  </si>
  <si>
    <t>Result</t>
    <phoneticPr fontId="4" type="noConversion"/>
  </si>
  <si>
    <t>Band</t>
    <phoneticPr fontId="1" type="noConversion"/>
  </si>
  <si>
    <t>RB Size</t>
    <phoneticPr fontId="1" type="noConversion"/>
  </si>
  <si>
    <t>RB Offset</t>
    <phoneticPr fontId="1" type="noConversion"/>
  </si>
  <si>
    <t>Channel</t>
    <phoneticPr fontId="1" type="noConversion"/>
  </si>
  <si>
    <t>BW(MHz)</t>
    <phoneticPr fontId="1" type="noConversion"/>
  </si>
  <si>
    <t>Mod</t>
    <phoneticPr fontId="1" type="noConversion"/>
  </si>
  <si>
    <t>NSA TRAFFIC MODE</t>
    <phoneticPr fontId="1" type="noConversion"/>
  </si>
  <si>
    <t>Spurious</t>
    <phoneticPr fontId="1" type="noConversion"/>
  </si>
  <si>
    <t>V</t>
    <phoneticPr fontId="1" type="noConversion"/>
  </si>
  <si>
    <t>H</t>
    <phoneticPr fontId="1" type="noConversion"/>
  </si>
  <si>
    <t>Level
(dBm)</t>
    <phoneticPr fontId="4" type="noConversion"/>
  </si>
  <si>
    <t>1 - 3G</t>
    <phoneticPr fontId="1" type="noConversion"/>
  </si>
  <si>
    <t>3 - 12.75G - 2nd, 3rd, 4th, 5th</t>
    <phoneticPr fontId="1" type="noConversion"/>
  </si>
  <si>
    <t>NSA IDLE MODE</t>
    <phoneticPr fontId="1" type="noConversion"/>
  </si>
  <si>
    <t>1 - 12.75G</t>
    <phoneticPr fontId="1" type="noConversion"/>
  </si>
  <si>
    <t>Test Range</t>
    <phoneticPr fontId="4" type="noConversion"/>
  </si>
  <si>
    <t>30 MHz - 1 GHz  / Limit : -36dBm / RBW : 100kHz</t>
    <phoneticPr fontId="4" type="noConversion"/>
  </si>
  <si>
    <t>1 - 18GHz / Limit : -30dBm / RBW : 1MHz</t>
    <phoneticPr fontId="4" type="noConversion"/>
  </si>
  <si>
    <t>Ant</t>
    <phoneticPr fontId="4" type="noConversion"/>
  </si>
  <si>
    <t>Sub6 NR</t>
    <phoneticPr fontId="1" type="noConversion"/>
  </si>
  <si>
    <t>SCS(kHz)</t>
    <phoneticPr fontId="1" type="noConversion"/>
  </si>
  <si>
    <t>Fundamental Freq.(MHz)</t>
    <phoneticPr fontId="1" type="noConversion"/>
  </si>
  <si>
    <t>Limit
(dBm)</t>
    <phoneticPr fontId="4" type="noConversion"/>
  </si>
  <si>
    <t>Margin
(dBm)</t>
    <phoneticPr fontId="4" type="noConversion"/>
  </si>
  <si>
    <t>Freq.(MHz)</t>
    <phoneticPr fontId="4" type="noConversion"/>
  </si>
  <si>
    <t>SA TRAFFIC MODE</t>
    <phoneticPr fontId="1" type="noConversion"/>
  </si>
  <si>
    <t>SA IDLE MODE</t>
    <phoneticPr fontId="1" type="noConversion"/>
  </si>
  <si>
    <t>1 - 12.75GHz / Limit : -30dBm / RBW : 1MHz</t>
    <phoneticPr fontId="4" type="noConversion"/>
  </si>
  <si>
    <t>Anchor
(NSA only)</t>
    <phoneticPr fontId="1" type="noConversion"/>
  </si>
  <si>
    <t>NSA TRAFFIC TEST RESULT</t>
    <phoneticPr fontId="1" type="noConversion"/>
  </si>
  <si>
    <t>NSA IDLE TEST RESULT</t>
    <phoneticPr fontId="1" type="noConversion"/>
  </si>
  <si>
    <t>SA TRAFFIC TEST RESULT</t>
    <phoneticPr fontId="1" type="noConversion"/>
  </si>
  <si>
    <t>SA IDLE TEST RESULT</t>
    <phoneticPr fontId="1" type="noConversion"/>
  </si>
  <si>
    <t>n8</t>
    <phoneticPr fontId="1" type="noConversion"/>
  </si>
  <si>
    <t>1 - 12.75G - 2nd, 3rd, 4th, 5th</t>
    <phoneticPr fontId="1" type="noConversion"/>
  </si>
  <si>
    <r>
      <rPr>
        <b/>
        <sz val="10"/>
        <color rgb="FF404040"/>
        <rFont val="맑은 고딕"/>
        <family val="3"/>
        <charset val="129"/>
      </rPr>
      <t>시험원</t>
    </r>
  </si>
  <si>
    <t>n77</t>
    <phoneticPr fontId="1" type="noConversion"/>
  </si>
  <si>
    <t>1 - 6G</t>
  </si>
  <si>
    <t>1 - 6G</t>
    <phoneticPr fontId="1" type="noConversion"/>
  </si>
  <si>
    <t>6 - 18G - 2nd, 3rd, 4th, 5th</t>
    <phoneticPr fontId="1" type="noConversion"/>
  </si>
  <si>
    <t>n5</t>
    <phoneticPr fontId="1" type="noConversion"/>
  </si>
  <si>
    <t>n20</t>
    <phoneticPr fontId="1" type="noConversion"/>
  </si>
  <si>
    <t>n28</t>
    <phoneticPr fontId="1" type="noConversion"/>
  </si>
  <si>
    <t>n78</t>
    <phoneticPr fontId="1" type="noConversion"/>
  </si>
  <si>
    <t>n26</t>
    <phoneticPr fontId="1" type="noConversion"/>
  </si>
  <si>
    <t>n71</t>
    <phoneticPr fontId="1" type="noConversion"/>
  </si>
  <si>
    <t>n79</t>
    <phoneticPr fontId="1" type="noConversion"/>
  </si>
  <si>
    <t>Sub6 NR NSA</t>
    <phoneticPr fontId="1" type="noConversion"/>
  </si>
  <si>
    <t>Sub6 NR SA</t>
    <phoneticPr fontId="1" type="noConversion"/>
  </si>
  <si>
    <t>Anchor
(NSA only)</t>
    <phoneticPr fontId="1" type="noConversion"/>
  </si>
  <si>
    <t>n1</t>
    <phoneticPr fontId="1" type="noConversion"/>
  </si>
  <si>
    <t>n3</t>
    <phoneticPr fontId="1" type="noConversion"/>
  </si>
  <si>
    <t>n7</t>
    <phoneticPr fontId="1" type="noConversion"/>
  </si>
  <si>
    <t>n38</t>
    <phoneticPr fontId="1" type="noConversion"/>
  </si>
  <si>
    <t>n40</t>
    <phoneticPr fontId="1" type="noConversion"/>
  </si>
  <si>
    <t>n41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</si>
</sst>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9"/>
      <name val="Arial"/>
      <family val="2"/>
    </font>
    <font>
      <sz val="8"/>
      <name val="돋움"/>
      <family val="3"/>
      <charset val="129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0"/>
      <color rgb="FF404040"/>
      <name val="맑은 고딕"/>
      <family val="3"/>
      <charset val="129"/>
    </font>
    <font>
      <sz val="11"/>
      <color rgb="FF000000"/>
      <name val="Noto Sans KR Regular"/>
      <family val="3"/>
      <charset val="129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6"/>
      <color rgb="FFFFFFFF"/>
      <name val="Arial"/>
      <family val="2"/>
    </font>
    <font>
      <sz val="11"/>
      <name val="Noto Sans KR Regular"/>
      <family val="3"/>
      <charset val="129"/>
    </font>
    <font>
      <b/>
      <sz val="20"/>
      <color rgb="FFFFFFFF"/>
      <name val="Arial"/>
      <family val="2"/>
    </font>
    <font>
      <b/>
      <sz val="10"/>
      <color rgb="FF40404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u/>
      <sz val="11"/>
      <color rgb="FF00000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b/>
      <sz val="11.5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1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/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indexed="64"/>
      </bottom>
      <diagonal/>
    </border>
    <border>
      <left/>
      <right style="thin">
        <color theme="1"/>
      </right>
      <top style="medium">
        <color theme="1"/>
      </top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/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 style="thin">
        <color theme="1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theme="1"/>
      </bottom>
      <diagonal/>
    </border>
    <border>
      <left style="thick">
        <color rgb="FFFF0000"/>
      </left>
      <right style="thick">
        <color rgb="FFFF0000"/>
      </right>
      <top style="thin">
        <color theme="1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9">
    <xf numFmtId="0" fontId="0" fillId="0" borderId="0" xfId="0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2" fontId="2" fillId="0" borderId="19" xfId="0" applyNumberFormat="1" applyFont="1" applyBorder="1" applyAlignment="1">
      <alignment horizontal="center" vertical="center"/>
    </xf>
    <xf numFmtId="0" fontId="19" fillId="0" borderId="0" xfId="0" applyFont="1" applyAlignment="1">
      <alignment horizontal="justify" vertical="center"/>
    </xf>
    <xf numFmtId="2" fontId="2" fillId="0" borderId="62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4" fontId="21" fillId="0" borderId="23" xfId="0" applyNumberFormat="1" applyFont="1" applyFill="1" applyBorder="1" applyAlignment="1">
      <alignment horizontal="center" vertical="center"/>
    </xf>
    <xf numFmtId="4" fontId="21" fillId="0" borderId="20" xfId="0" applyNumberFormat="1" applyFont="1" applyFill="1" applyBorder="1" applyAlignment="1">
      <alignment horizontal="center" vertical="center"/>
    </xf>
    <xf numFmtId="4" fontId="21" fillId="0" borderId="84" xfId="0" applyNumberFormat="1" applyFont="1" applyFill="1" applyBorder="1" applyAlignment="1">
      <alignment horizontal="center" vertical="center"/>
    </xf>
    <xf numFmtId="4" fontId="21" fillId="0" borderId="85" xfId="0" applyNumberFormat="1" applyFont="1" applyFill="1" applyBorder="1" applyAlignment="1">
      <alignment horizontal="center" vertical="center"/>
    </xf>
    <xf numFmtId="0" fontId="15" fillId="4" borderId="29" xfId="0" applyFont="1" applyFill="1" applyBorder="1" applyAlignment="1">
      <alignment horizontal="center" vertical="center"/>
    </xf>
    <xf numFmtId="4" fontId="21" fillId="0" borderId="10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4" fontId="21" fillId="0" borderId="14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2" fillId="0" borderId="48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/>
    </xf>
    <xf numFmtId="0" fontId="5" fillId="6" borderId="46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14" fillId="3" borderId="58" xfId="0" applyFont="1" applyFill="1" applyBorder="1" applyAlignment="1">
      <alignment horizontal="center" vertical="center"/>
    </xf>
    <xf numFmtId="0" fontId="14" fillId="3" borderId="59" xfId="0" applyFont="1" applyFill="1" applyBorder="1" applyAlignment="1">
      <alignment horizontal="center" vertical="center"/>
    </xf>
    <xf numFmtId="0" fontId="14" fillId="3" borderId="60" xfId="0" applyFont="1" applyFill="1" applyBorder="1" applyAlignment="1">
      <alignment horizontal="center" vertical="center"/>
    </xf>
    <xf numFmtId="0" fontId="14" fillId="3" borderId="83" xfId="0" applyFont="1" applyFill="1" applyBorder="1" applyAlignment="1">
      <alignment horizontal="center" vertical="center"/>
    </xf>
    <xf numFmtId="0" fontId="14" fillId="3" borderId="87" xfId="0" applyFont="1" applyFill="1" applyBorder="1" applyAlignment="1">
      <alignment horizontal="center" vertical="center"/>
    </xf>
    <xf numFmtId="0" fontId="14" fillId="3" borderId="88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2" fontId="9" fillId="2" borderId="39" xfId="0" applyNumberFormat="1" applyFont="1" applyFill="1" applyBorder="1" applyAlignment="1">
      <alignment horizontal="center" vertical="center"/>
    </xf>
    <xf numFmtId="2" fontId="9" fillId="2" borderId="47" xfId="0" applyNumberFormat="1" applyFont="1" applyFill="1" applyBorder="1" applyAlignment="1">
      <alignment horizontal="center" vertical="center"/>
    </xf>
    <xf numFmtId="2" fontId="9" fillId="2" borderId="42" xfId="0" applyNumberFormat="1" applyFont="1" applyFill="1" applyBorder="1" applyAlignment="1">
      <alignment horizontal="center" vertical="center"/>
    </xf>
    <xf numFmtId="2" fontId="9" fillId="2" borderId="21" xfId="0" applyNumberFormat="1" applyFont="1" applyFill="1" applyBorder="1" applyAlignment="1">
      <alignment horizontal="center" vertical="center"/>
    </xf>
    <xf numFmtId="2" fontId="9" fillId="2" borderId="0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32" xfId="0" applyFont="1" applyFill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/>
    </xf>
    <xf numFmtId="0" fontId="11" fillId="3" borderId="3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40" xfId="0" applyFont="1" applyFill="1" applyBorder="1" applyAlignment="1">
      <alignment horizontal="center" vertical="center" wrapText="1"/>
    </xf>
    <xf numFmtId="0" fontId="10" fillId="4" borderId="40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center" vertical="center"/>
    </xf>
    <xf numFmtId="0" fontId="22" fillId="4" borderId="0" xfId="0" applyFont="1" applyFill="1" applyBorder="1" applyAlignment="1">
      <alignment horizontal="center" vertical="center"/>
    </xf>
    <xf numFmtId="0" fontId="22" fillId="4" borderId="26" xfId="0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22" fillId="4" borderId="31" xfId="0" applyFont="1" applyFill="1" applyBorder="1" applyAlignment="1">
      <alignment horizontal="center" vertical="center"/>
    </xf>
    <xf numFmtId="0" fontId="22" fillId="4" borderId="25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8" xfId="0" applyFont="1" applyFill="1" applyBorder="1" applyAlignment="1">
      <alignment horizontal="center" vertical="center"/>
    </xf>
    <xf numFmtId="1" fontId="9" fillId="2" borderId="8" xfId="0" applyNumberFormat="1" applyFont="1" applyFill="1" applyBorder="1" applyAlignment="1">
      <alignment horizontal="center" vertical="center"/>
    </xf>
    <xf numFmtId="1" fontId="9" fillId="2" borderId="29" xfId="0" applyNumberFormat="1" applyFont="1" applyFill="1" applyBorder="1" applyAlignment="1">
      <alignment horizontal="center" vertical="center"/>
    </xf>
    <xf numFmtId="0" fontId="10" fillId="4" borderId="27" xfId="0" applyFont="1" applyFill="1" applyBorder="1" applyAlignment="1">
      <alignment horizontal="center" vertical="center" wrapText="1"/>
    </xf>
    <xf numFmtId="4" fontId="6" fillId="5" borderId="43" xfId="0" applyNumberFormat="1" applyFont="1" applyFill="1" applyBorder="1" applyAlignment="1">
      <alignment horizontal="center" vertical="center" shrinkToFit="1"/>
    </xf>
    <xf numFmtId="4" fontId="6" fillId="5" borderId="44" xfId="0" applyNumberFormat="1" applyFont="1" applyFill="1" applyBorder="1" applyAlignment="1">
      <alignment horizontal="center" vertical="center" shrinkToFit="1"/>
    </xf>
    <xf numFmtId="4" fontId="6" fillId="5" borderId="45" xfId="0" applyNumberFormat="1" applyFont="1" applyFill="1" applyBorder="1" applyAlignment="1">
      <alignment horizontal="center" vertical="center" shrinkToFit="1"/>
    </xf>
    <xf numFmtId="4" fontId="6" fillId="5" borderId="0" xfId="0" applyNumberFormat="1" applyFont="1" applyFill="1" applyBorder="1" applyAlignment="1">
      <alignment horizontal="center" vertical="center" shrinkToFit="1"/>
    </xf>
    <xf numFmtId="0" fontId="17" fillId="4" borderId="15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4" fontId="6" fillId="4" borderId="16" xfId="0" applyNumberFormat="1" applyFont="1" applyFill="1" applyBorder="1" applyAlignment="1">
      <alignment horizontal="center" vertical="center"/>
    </xf>
    <xf numFmtId="4" fontId="6" fillId="4" borderId="8" xfId="0" applyNumberFormat="1" applyFont="1" applyFill="1" applyBorder="1" applyAlignment="1">
      <alignment horizontal="center" vertical="center"/>
    </xf>
    <xf numFmtId="4" fontId="6" fillId="4" borderId="17" xfId="0" applyNumberFormat="1" applyFont="1" applyFill="1" applyBorder="1" applyAlignment="1">
      <alignment horizontal="center" vertical="center"/>
    </xf>
    <xf numFmtId="4" fontId="6" fillId="4" borderId="23" xfId="0" applyNumberFormat="1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51" xfId="0" applyFont="1" applyFill="1" applyBorder="1" applyAlignment="1">
      <alignment horizontal="center" vertical="center" wrapText="1"/>
    </xf>
    <xf numFmtId="0" fontId="17" fillId="4" borderId="48" xfId="0" applyFont="1" applyFill="1" applyBorder="1" applyAlignment="1">
      <alignment horizontal="center" vertical="center" wrapText="1"/>
    </xf>
    <xf numFmtId="0" fontId="17" fillId="4" borderId="95" xfId="0" applyFont="1" applyFill="1" applyBorder="1" applyAlignment="1">
      <alignment horizontal="center" vertical="center" wrapText="1"/>
    </xf>
    <xf numFmtId="0" fontId="17" fillId="4" borderId="93" xfId="0" applyFont="1" applyFill="1" applyBorder="1" applyAlignment="1">
      <alignment horizontal="center" vertical="center" wrapText="1"/>
    </xf>
    <xf numFmtId="0" fontId="17" fillId="4" borderId="38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6" fillId="4" borderId="53" xfId="0" applyFont="1" applyFill="1" applyBorder="1" applyAlignment="1">
      <alignment horizontal="center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16" fillId="4" borderId="54" xfId="0" applyFont="1" applyFill="1" applyBorder="1" applyAlignment="1">
      <alignment horizontal="center" vertical="center" wrapText="1"/>
    </xf>
    <xf numFmtId="0" fontId="16" fillId="4" borderId="35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 wrapText="1"/>
    </xf>
    <xf numFmtId="0" fontId="17" fillId="0" borderId="19" xfId="0" applyFont="1" applyFill="1" applyBorder="1" applyAlignment="1">
      <alignment horizontal="center" vertical="center" wrapText="1"/>
    </xf>
    <xf numFmtId="176" fontId="16" fillId="0" borderId="8" xfId="0" applyNumberFormat="1" applyFont="1" applyBorder="1" applyAlignment="1">
      <alignment horizontal="center" vertical="center" wrapText="1"/>
    </xf>
    <xf numFmtId="176" fontId="16" fillId="0" borderId="19" xfId="0" applyNumberFormat="1" applyFont="1" applyBorder="1" applyAlignment="1">
      <alignment horizontal="center" vertical="center" wrapText="1"/>
    </xf>
    <xf numFmtId="2" fontId="18" fillId="0" borderId="48" xfId="0" applyNumberFormat="1" applyFont="1" applyBorder="1" applyAlignment="1">
      <alignment horizontal="center" vertical="center" wrapText="1"/>
    </xf>
    <xf numFmtId="2" fontId="18" fillId="0" borderId="52" xfId="0" applyNumberFormat="1" applyFont="1" applyBorder="1" applyAlignment="1">
      <alignment horizontal="center" vertical="center" wrapText="1"/>
    </xf>
    <xf numFmtId="176" fontId="18" fillId="0" borderId="93" xfId="0" applyNumberFormat="1" applyFont="1" applyBorder="1" applyAlignment="1">
      <alignment horizontal="center" vertical="center" wrapText="1"/>
    </xf>
    <xf numFmtId="176" fontId="18" fillId="0" borderId="94" xfId="0" applyNumberFormat="1" applyFont="1" applyBorder="1" applyAlignment="1">
      <alignment horizontal="center" vertical="center" wrapText="1"/>
    </xf>
    <xf numFmtId="4" fontId="6" fillId="5" borderId="11" xfId="0" applyNumberFormat="1" applyFont="1" applyFill="1" applyBorder="1" applyAlignment="1">
      <alignment horizontal="center" vertical="center" shrinkToFit="1"/>
    </xf>
    <xf numFmtId="4" fontId="6" fillId="5" borderId="12" xfId="0" applyNumberFormat="1" applyFont="1" applyFill="1" applyBorder="1" applyAlignment="1">
      <alignment horizontal="center" vertical="center" shrinkToFit="1"/>
    </xf>
    <xf numFmtId="4" fontId="6" fillId="5" borderId="13" xfId="0" applyNumberFormat="1" applyFont="1" applyFill="1" applyBorder="1" applyAlignment="1">
      <alignment horizontal="center" vertical="center" shrinkToFit="1"/>
    </xf>
    <xf numFmtId="0" fontId="5" fillId="2" borderId="28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4" fontId="17" fillId="0" borderId="22" xfId="0" applyNumberFormat="1" applyFont="1" applyFill="1" applyBorder="1" applyAlignment="1">
      <alignment horizontal="center" vertical="center" wrapText="1"/>
    </xf>
    <xf numFmtId="4" fontId="17" fillId="0" borderId="28" xfId="0" applyNumberFormat="1" applyFont="1" applyFill="1" applyBorder="1" applyAlignment="1">
      <alignment horizontal="center" vertical="center" wrapText="1"/>
    </xf>
    <xf numFmtId="0" fontId="17" fillId="0" borderId="29" xfId="0" applyFont="1" applyFill="1" applyBorder="1" applyAlignment="1">
      <alignment horizontal="center" vertical="center" wrapText="1"/>
    </xf>
    <xf numFmtId="176" fontId="16" fillId="0" borderId="29" xfId="0" applyNumberFormat="1" applyFont="1" applyBorder="1" applyAlignment="1">
      <alignment horizontal="center" vertical="center" wrapText="1"/>
    </xf>
    <xf numFmtId="2" fontId="18" fillId="0" borderId="39" xfId="0" applyNumberFormat="1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72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4" fontId="6" fillId="5" borderId="3" xfId="0" applyNumberFormat="1" applyFont="1" applyFill="1" applyBorder="1" applyAlignment="1">
      <alignment horizontal="center" vertical="center" shrinkToFit="1"/>
    </xf>
    <xf numFmtId="4" fontId="6" fillId="5" borderId="4" xfId="0" applyNumberFormat="1" applyFont="1" applyFill="1" applyBorder="1" applyAlignment="1">
      <alignment horizontal="center" vertical="center" shrinkToFit="1"/>
    </xf>
    <xf numFmtId="4" fontId="6" fillId="5" borderId="58" xfId="0" applyNumberFormat="1" applyFont="1" applyFill="1" applyBorder="1" applyAlignment="1">
      <alignment horizontal="center" vertical="center" shrinkToFit="1"/>
    </xf>
    <xf numFmtId="4" fontId="6" fillId="5" borderId="59" xfId="0" applyNumberFormat="1" applyFont="1" applyFill="1" applyBorder="1" applyAlignment="1">
      <alignment horizontal="center" vertical="center" shrinkToFit="1"/>
    </xf>
    <xf numFmtId="4" fontId="6" fillId="5" borderId="64" xfId="0" applyNumberFormat="1" applyFont="1" applyFill="1" applyBorder="1" applyAlignment="1">
      <alignment horizontal="center" vertical="center" shrinkToFit="1"/>
    </xf>
    <xf numFmtId="4" fontId="6" fillId="5" borderId="65" xfId="0" applyNumberFormat="1" applyFont="1" applyFill="1" applyBorder="1" applyAlignment="1">
      <alignment horizontal="center" vertical="center" shrinkToFit="1"/>
    </xf>
    <xf numFmtId="0" fontId="17" fillId="4" borderId="78" xfId="0" applyFont="1" applyFill="1" applyBorder="1" applyAlignment="1">
      <alignment horizontal="center" vertical="center" wrapText="1"/>
    </xf>
    <xf numFmtId="0" fontId="17" fillId="4" borderId="67" xfId="0" applyFont="1" applyFill="1" applyBorder="1" applyAlignment="1">
      <alignment horizontal="center" vertical="center" wrapText="1"/>
    </xf>
    <xf numFmtId="4" fontId="6" fillId="4" borderId="79" xfId="0" applyNumberFormat="1" applyFont="1" applyFill="1" applyBorder="1" applyAlignment="1">
      <alignment horizontal="center" vertical="center"/>
    </xf>
    <xf numFmtId="4" fontId="6" fillId="4" borderId="29" xfId="0" applyNumberFormat="1" applyFont="1" applyFill="1" applyBorder="1" applyAlignment="1">
      <alignment horizontal="center" vertical="center"/>
    </xf>
    <xf numFmtId="4" fontId="6" fillId="4" borderId="81" xfId="0" applyNumberFormat="1" applyFont="1" applyFill="1" applyBorder="1" applyAlignment="1">
      <alignment horizontal="center" vertical="center"/>
    </xf>
    <xf numFmtId="4" fontId="6" fillId="4" borderId="74" xfId="0" applyNumberFormat="1" applyFont="1" applyFill="1" applyBorder="1" applyAlignment="1">
      <alignment horizontal="center" vertical="center"/>
    </xf>
    <xf numFmtId="0" fontId="17" fillId="4" borderId="79" xfId="0" applyFont="1" applyFill="1" applyBorder="1" applyAlignment="1">
      <alignment horizontal="center" vertical="center" wrapText="1"/>
    </xf>
    <xf numFmtId="0" fontId="17" fillId="4" borderId="80" xfId="0" applyFont="1" applyFill="1" applyBorder="1" applyAlignment="1">
      <alignment horizontal="center" vertical="center" wrapText="1"/>
    </xf>
    <xf numFmtId="0" fontId="17" fillId="4" borderId="90" xfId="0" applyFont="1" applyFill="1" applyBorder="1" applyAlignment="1">
      <alignment horizontal="center" vertical="center" wrapText="1"/>
    </xf>
    <xf numFmtId="0" fontId="17" fillId="4" borderId="91" xfId="0" applyFont="1" applyFill="1" applyBorder="1" applyAlignment="1">
      <alignment horizontal="center" vertical="center" wrapText="1"/>
    </xf>
    <xf numFmtId="0" fontId="16" fillId="4" borderId="76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 wrapText="1"/>
    </xf>
    <xf numFmtId="0" fontId="16" fillId="4" borderId="66" xfId="0" applyFont="1" applyFill="1" applyBorder="1" applyAlignment="1">
      <alignment horizontal="center" vertical="center" wrapText="1"/>
    </xf>
    <xf numFmtId="0" fontId="16" fillId="4" borderId="68" xfId="0" applyFont="1" applyFill="1" applyBorder="1" applyAlignment="1">
      <alignment horizontal="center" vertical="center" wrapText="1"/>
    </xf>
    <xf numFmtId="4" fontId="5" fillId="0" borderId="61" xfId="0" applyNumberFormat="1" applyFont="1" applyBorder="1" applyAlignment="1">
      <alignment horizontal="center" vertical="center"/>
    </xf>
    <xf numFmtId="4" fontId="5" fillId="0" borderId="82" xfId="0" applyNumberFormat="1" applyFont="1" applyBorder="1" applyAlignment="1">
      <alignment horizontal="center" vertical="center"/>
    </xf>
    <xf numFmtId="4" fontId="6" fillId="0" borderId="67" xfId="0" applyNumberFormat="1" applyFont="1" applyBorder="1" applyAlignment="1">
      <alignment horizontal="center" vertical="center" wrapText="1"/>
    </xf>
    <xf numFmtId="176" fontId="2" fillId="0" borderId="93" xfId="0" applyNumberFormat="1" applyFont="1" applyBorder="1" applyAlignment="1">
      <alignment horizontal="center" vertical="center" wrapText="1"/>
    </xf>
    <xf numFmtId="0" fontId="18" fillId="0" borderId="91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69" xfId="0" applyFont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4" fontId="5" fillId="0" borderId="67" xfId="0" applyNumberFormat="1" applyFont="1" applyBorder="1" applyAlignment="1">
      <alignment horizontal="center" vertical="center"/>
    </xf>
    <xf numFmtId="2" fontId="16" fillId="0" borderId="48" xfId="0" applyNumberFormat="1" applyFont="1" applyBorder="1" applyAlignment="1">
      <alignment horizontal="center" vertical="center" wrapText="1"/>
    </xf>
    <xf numFmtId="176" fontId="16" fillId="0" borderId="91" xfId="0" applyNumberFormat="1" applyFont="1" applyBorder="1" applyAlignment="1">
      <alignment horizontal="center" vertical="center" wrapText="1"/>
    </xf>
    <xf numFmtId="0" fontId="18" fillId="0" borderId="7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2" fillId="3" borderId="6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4" fontId="5" fillId="0" borderId="83" xfId="0" applyNumberFormat="1" applyFont="1" applyBorder="1" applyAlignment="1">
      <alignment horizontal="center" vertical="center"/>
    </xf>
    <xf numFmtId="4" fontId="5" fillId="0" borderId="70" xfId="0" applyNumberFormat="1" applyFont="1" applyBorder="1" applyAlignment="1">
      <alignment horizontal="center" vertical="center"/>
    </xf>
    <xf numFmtId="0" fontId="17" fillId="0" borderId="71" xfId="0" applyFont="1" applyFill="1" applyBorder="1" applyAlignment="1">
      <alignment horizontal="center" vertical="center" wrapText="1"/>
    </xf>
    <xf numFmtId="176" fontId="16" fillId="0" borderId="71" xfId="0" applyNumberFormat="1" applyFont="1" applyBorder="1" applyAlignment="1">
      <alignment horizontal="center" vertical="center" wrapText="1"/>
    </xf>
    <xf numFmtId="2" fontId="16" fillId="0" borderId="89" xfId="0" applyNumberFormat="1" applyFont="1" applyBorder="1" applyAlignment="1">
      <alignment horizontal="center" vertical="center" wrapText="1"/>
    </xf>
    <xf numFmtId="176" fontId="2" fillId="0" borderId="94" xfId="0" applyNumberFormat="1" applyFont="1" applyBorder="1" applyAlignment="1">
      <alignment horizontal="center" vertical="center" wrapText="1"/>
    </xf>
    <xf numFmtId="0" fontId="16" fillId="0" borderId="91" xfId="0" applyFont="1" applyBorder="1" applyAlignment="1">
      <alignment horizontal="center" vertical="center" wrapText="1"/>
    </xf>
    <xf numFmtId="0" fontId="16" fillId="0" borderId="92" xfId="0" applyFont="1" applyBorder="1" applyAlignment="1">
      <alignment horizontal="center" vertical="center" wrapText="1"/>
    </xf>
    <xf numFmtId="0" fontId="18" fillId="0" borderId="77" xfId="0" applyFont="1" applyBorder="1" applyAlignment="1">
      <alignment horizontal="center" vertical="center" wrapText="1"/>
    </xf>
    <xf numFmtId="4" fontId="6" fillId="5" borderId="18" xfId="0" applyNumberFormat="1" applyFont="1" applyFill="1" applyBorder="1" applyAlignment="1">
      <alignment horizontal="center" vertical="center" shrinkToFit="1"/>
    </xf>
    <xf numFmtId="4" fontId="6" fillId="5" borderId="19" xfId="0" applyNumberFormat="1" applyFont="1" applyFill="1" applyBorder="1" applyAlignment="1">
      <alignment horizontal="center" vertical="center" shrinkToFit="1"/>
    </xf>
    <xf numFmtId="4" fontId="6" fillId="5" borderId="20" xfId="0" applyNumberFormat="1" applyFont="1" applyFill="1" applyBorder="1" applyAlignment="1">
      <alignment horizontal="center" vertical="center" shrinkToFit="1"/>
    </xf>
    <xf numFmtId="4" fontId="6" fillId="5" borderId="47" xfId="0" applyNumberFormat="1" applyFont="1" applyFill="1" applyBorder="1" applyAlignment="1">
      <alignment horizontal="center" vertical="center" shrinkToFit="1"/>
    </xf>
    <xf numFmtId="176" fontId="16" fillId="2" borderId="96" xfId="0" applyNumberFormat="1" applyFont="1" applyFill="1" applyBorder="1" applyAlignment="1">
      <alignment horizontal="center" vertical="center" wrapText="1"/>
    </xf>
    <xf numFmtId="0" fontId="16" fillId="2" borderId="97" xfId="0" applyFont="1" applyFill="1" applyBorder="1" applyAlignment="1">
      <alignment horizontal="center" vertical="center" wrapText="1"/>
    </xf>
    <xf numFmtId="0" fontId="16" fillId="2" borderId="46" xfId="0" applyFont="1" applyFill="1" applyBorder="1" applyAlignment="1">
      <alignment horizontal="center" vertical="center" wrapText="1"/>
    </xf>
    <xf numFmtId="0" fontId="16" fillId="2" borderId="86" xfId="0" applyFont="1" applyFill="1" applyBorder="1" applyAlignment="1">
      <alignment horizontal="center" vertical="center" wrapText="1"/>
    </xf>
    <xf numFmtId="0" fontId="16" fillId="2" borderId="36" xfId="0" applyFont="1" applyFill="1" applyBorder="1" applyAlignment="1">
      <alignment horizontal="center" vertical="center" wrapText="1"/>
    </xf>
    <xf numFmtId="0" fontId="16" fillId="2" borderId="55" xfId="0" applyFont="1" applyFill="1" applyBorder="1" applyAlignment="1">
      <alignment horizontal="center" vertical="center" wrapText="1"/>
    </xf>
    <xf numFmtId="4" fontId="6" fillId="5" borderId="34" xfId="0" applyNumberFormat="1" applyFont="1" applyFill="1" applyBorder="1" applyAlignment="1">
      <alignment horizontal="center" vertical="center" shrinkToFit="1"/>
    </xf>
    <xf numFmtId="4" fontId="6" fillId="5" borderId="40" xfId="0" applyNumberFormat="1" applyFont="1" applyFill="1" applyBorder="1" applyAlignment="1">
      <alignment horizontal="center" vertical="center" shrinkToFit="1"/>
    </xf>
    <xf numFmtId="4" fontId="6" fillId="5" borderId="56" xfId="0" applyNumberFormat="1" applyFont="1" applyFill="1" applyBorder="1" applyAlignment="1">
      <alignment horizontal="center" vertical="center" shrinkToFit="1"/>
    </xf>
    <xf numFmtId="0" fontId="17" fillId="4" borderId="76" xfId="0" applyFont="1" applyFill="1" applyBorder="1" applyAlignment="1">
      <alignment horizontal="center" vertical="center" wrapText="1"/>
    </xf>
    <xf numFmtId="0" fontId="17" fillId="4" borderId="25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29" xfId="0" applyFont="1" applyFill="1" applyBorder="1" applyAlignment="1">
      <alignment horizontal="center" vertical="center" wrapText="1"/>
    </xf>
    <xf numFmtId="0" fontId="17" fillId="2" borderId="41" xfId="0" applyFont="1" applyFill="1" applyBorder="1" applyAlignment="1">
      <alignment horizontal="center" vertical="center" wrapText="1"/>
    </xf>
    <xf numFmtId="2" fontId="16" fillId="2" borderId="29" xfId="0" applyNumberFormat="1" applyFont="1" applyFill="1" applyBorder="1" applyAlignment="1">
      <alignment horizontal="center" vertical="center" wrapText="1"/>
    </xf>
    <xf numFmtId="2" fontId="16" fillId="2" borderId="41" xfId="0" applyNumberFormat="1" applyFont="1" applyFill="1" applyBorder="1" applyAlignment="1">
      <alignment horizontal="center" vertical="center" wrapText="1"/>
    </xf>
    <xf numFmtId="2" fontId="16" fillId="2" borderId="39" xfId="0" applyNumberFormat="1" applyFont="1" applyFill="1" applyBorder="1" applyAlignment="1">
      <alignment horizontal="center" vertical="center" wrapText="1"/>
    </xf>
    <xf numFmtId="2" fontId="16" fillId="2" borderId="49" xfId="0" applyNumberFormat="1" applyFont="1" applyFill="1" applyBorder="1" applyAlignment="1">
      <alignment horizontal="center" vertical="center" wrapText="1"/>
    </xf>
    <xf numFmtId="4" fontId="5" fillId="0" borderId="57" xfId="0" applyNumberFormat="1" applyFont="1" applyBorder="1" applyAlignment="1">
      <alignment horizontal="center" vertical="center"/>
    </xf>
    <xf numFmtId="4" fontId="5" fillId="0" borderId="32" xfId="0" applyNumberFormat="1" applyFont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 wrapText="1"/>
    </xf>
    <xf numFmtId="0" fontId="17" fillId="4" borderId="98" xfId="0" applyFont="1" applyFill="1" applyBorder="1" applyAlignment="1">
      <alignment horizontal="center" vertical="center" wrapText="1"/>
    </xf>
    <xf numFmtId="4" fontId="5" fillId="0" borderId="9" xfId="0" applyNumberFormat="1" applyFont="1" applyBorder="1" applyAlignment="1">
      <alignment horizontal="center" vertical="center"/>
    </xf>
    <xf numFmtId="4" fontId="5" fillId="0" borderId="43" xfId="0" applyNumberFormat="1" applyFont="1" applyBorder="1" applyAlignment="1">
      <alignment horizontal="center" vertical="center"/>
    </xf>
    <xf numFmtId="4" fontId="5" fillId="0" borderId="63" xfId="0" applyNumberFormat="1" applyFont="1" applyBorder="1" applyAlignment="1">
      <alignment horizontal="center" vertical="center"/>
    </xf>
    <xf numFmtId="0" fontId="8" fillId="4" borderId="54" xfId="0" applyFont="1" applyFill="1" applyBorder="1" applyAlignment="1">
      <alignment horizontal="center" vertical="center" wrapText="1"/>
    </xf>
    <xf numFmtId="0" fontId="8" fillId="4" borderId="35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55" xfId="0" applyFont="1" applyFill="1" applyBorder="1" applyAlignment="1">
      <alignment horizontal="center" vertical="center" wrapText="1"/>
    </xf>
    <xf numFmtId="0" fontId="8" fillId="4" borderId="53" xfId="0" applyFont="1" applyFill="1" applyBorder="1" applyAlignment="1">
      <alignment horizontal="center" vertical="center" wrapText="1"/>
    </xf>
    <xf numFmtId="0" fontId="8" fillId="4" borderId="27" xfId="0" applyFont="1" applyFill="1" applyBorder="1" applyAlignment="1">
      <alignment horizontal="center" vertical="center" wrapText="1"/>
    </xf>
    <xf numFmtId="0" fontId="13" fillId="0" borderId="69" xfId="0" applyFont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68" xfId="0" applyFont="1" applyBorder="1" applyAlignment="1">
      <alignment horizontal="center" vertical="center" wrapText="1"/>
    </xf>
    <xf numFmtId="0" fontId="13" fillId="0" borderId="77" xfId="0" applyFont="1" applyBorder="1" applyAlignment="1">
      <alignment horizontal="center" vertical="center" wrapText="1"/>
    </xf>
    <xf numFmtId="0" fontId="8" fillId="4" borderId="76" xfId="0" applyFont="1" applyFill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66" xfId="0" applyFont="1" applyFill="1" applyBorder="1" applyAlignment="1">
      <alignment horizontal="center" vertical="center" wrapText="1"/>
    </xf>
    <xf numFmtId="0" fontId="8" fillId="4" borderId="68" xfId="0" applyFont="1" applyFill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5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2" fillId="3" borderId="32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1" fontId="9" fillId="2" borderId="9" xfId="0" applyNumberFormat="1" applyFont="1" applyFill="1" applyBorder="1" applyAlignment="1">
      <alignment horizontal="center" vertical="center"/>
    </xf>
    <xf numFmtId="0" fontId="14" fillId="3" borderId="10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4" fillId="3" borderId="101" xfId="0" applyFont="1" applyFill="1" applyBorder="1" applyAlignment="1">
      <alignment horizontal="center" vertical="center"/>
    </xf>
    <xf numFmtId="0" fontId="10" fillId="4" borderId="102" xfId="0" applyFont="1" applyFill="1" applyBorder="1" applyAlignment="1">
      <alignment horizontal="center" vertical="center"/>
    </xf>
    <xf numFmtId="0" fontId="10" fillId="4" borderId="98" xfId="0" applyFont="1" applyFill="1" applyBorder="1" applyAlignment="1">
      <alignment horizontal="center" vertical="center"/>
    </xf>
    <xf numFmtId="0" fontId="10" fillId="4" borderId="79" xfId="0" applyFont="1" applyFill="1" applyBorder="1" applyAlignment="1">
      <alignment horizontal="center" vertical="center"/>
    </xf>
    <xf numFmtId="0" fontId="10" fillId="4" borderId="104" xfId="0" applyFont="1" applyFill="1" applyBorder="1" applyAlignment="1">
      <alignment horizontal="center" vertical="center" wrapText="1"/>
    </xf>
    <xf numFmtId="0" fontId="10" fillId="4" borderId="104" xfId="0" applyFont="1" applyFill="1" applyBorder="1" applyAlignment="1">
      <alignment horizontal="center" vertical="center"/>
    </xf>
    <xf numFmtId="0" fontId="22" fillId="4" borderId="99" xfId="0" applyFont="1" applyFill="1" applyBorder="1" applyAlignment="1">
      <alignment horizontal="center" vertical="center"/>
    </xf>
    <xf numFmtId="0" fontId="22" fillId="4" borderId="59" xfId="0" applyFont="1" applyFill="1" applyBorder="1" applyAlignment="1">
      <alignment horizontal="center" vertical="center"/>
    </xf>
    <xf numFmtId="0" fontId="22" fillId="4" borderId="60" xfId="0" applyFont="1" applyFill="1" applyBorder="1" applyAlignment="1">
      <alignment horizontal="center" vertical="center"/>
    </xf>
    <xf numFmtId="0" fontId="10" fillId="4" borderId="105" xfId="0" applyFont="1" applyFill="1" applyBorder="1" applyAlignment="1">
      <alignment horizontal="center" vertical="center"/>
    </xf>
    <xf numFmtId="0" fontId="22" fillId="4" borderId="106" xfId="0" applyFont="1" applyFill="1" applyBorder="1" applyAlignment="1">
      <alignment horizontal="center" vertical="center"/>
    </xf>
    <xf numFmtId="0" fontId="9" fillId="2" borderId="105" xfId="0" applyFont="1" applyFill="1" applyBorder="1" applyAlignment="1">
      <alignment horizontal="center" vertical="center"/>
    </xf>
    <xf numFmtId="2" fontId="9" fillId="2" borderId="107" xfId="0" applyNumberFormat="1" applyFont="1" applyFill="1" applyBorder="1" applyAlignment="1">
      <alignment horizontal="center" vertical="center"/>
    </xf>
    <xf numFmtId="0" fontId="9" fillId="2" borderId="108" xfId="0" applyFont="1" applyFill="1" applyBorder="1" applyAlignment="1">
      <alignment horizontal="center" vertical="center"/>
    </xf>
    <xf numFmtId="1" fontId="9" fillId="2" borderId="63" xfId="0" applyNumberFormat="1" applyFont="1" applyFill="1" applyBorder="1" applyAlignment="1">
      <alignment horizontal="center" vertical="center"/>
    </xf>
    <xf numFmtId="0" fontId="9" fillId="2" borderId="71" xfId="0" applyFont="1" applyFill="1" applyBorder="1" applyAlignment="1">
      <alignment horizontal="center" vertical="center"/>
    </xf>
    <xf numFmtId="0" fontId="9" fillId="2" borderId="72" xfId="0" applyFont="1" applyFill="1" applyBorder="1" applyAlignment="1">
      <alignment horizontal="center" vertical="center"/>
    </xf>
    <xf numFmtId="2" fontId="9" fillId="2" borderId="109" xfId="0" applyNumberFormat="1" applyFont="1" applyFill="1" applyBorder="1" applyAlignment="1">
      <alignment horizontal="center" vertical="center"/>
    </xf>
    <xf numFmtId="2" fontId="9" fillId="2" borderId="87" xfId="0" applyNumberFormat="1" applyFont="1" applyFill="1" applyBorder="1" applyAlignment="1">
      <alignment horizontal="center" vertical="center"/>
    </xf>
    <xf numFmtId="2" fontId="9" fillId="2" borderId="88" xfId="0" applyNumberFormat="1" applyFont="1" applyFill="1" applyBorder="1" applyAlignment="1">
      <alignment horizontal="center" vertical="center"/>
    </xf>
    <xf numFmtId="0" fontId="10" fillId="4" borderId="103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0" fontId="9" fillId="7" borderId="62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29" xfId="0" applyFont="1" applyFill="1" applyBorder="1" applyAlignment="1">
      <alignment horizontal="center" vertical="center"/>
    </xf>
  </cellXfs>
  <cellStyles count="1">
    <cellStyle name="표준" xfId="0" builtinId="0"/>
  </cellStyles>
  <dxfs count="681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0070C0"/>
      </font>
      <fill>
        <patternFill>
          <bgColor rgb="FFCCECFF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>
          <bgColor rgb="FFFFCCCC"/>
        </patternFill>
      </fill>
    </dxf>
    <dxf>
      <font>
        <color auto="1"/>
      </font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D9E1F2"/>
      <color rgb="FFD9F500"/>
      <color rgb="FF82A0DC"/>
      <color rgb="FFCCECFF"/>
      <color rgb="FF82A0D2"/>
      <color rgb="FFFFCCCC"/>
      <color rgb="FF1F4E78"/>
      <color rgb="FF63A0F9"/>
      <color rgb="FF82B4FA"/>
      <color rgb="FF82A0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5912-A171-492E-971B-3B4AB71A18CB}">
  <dimension ref="A1:P85"/>
  <sheetViews>
    <sheetView tabSelected="1" view="pageBreakPreview" zoomScale="85" zoomScaleNormal="100" zoomScaleSheetLayoutView="85" workbookViewId="0">
      <selection activeCell="F51" sqref="F51:M52"/>
    </sheetView>
  </sheetViews>
  <sheetFormatPr defaultRowHeight="16.5" outlineLevelCol="1" x14ac:dyDescent="0.3"/>
  <cols>
    <col min="1" max="11" width="12.625" style="6" customWidth="1"/>
    <col min="12" max="13" width="12.625" style="6" hidden="1" customWidth="1" outlineLevel="1"/>
    <col min="14" max="14" width="12.625" style="6" customWidth="1" collapsed="1"/>
    <col min="15" max="16" width="12.625" style="6" customWidth="1"/>
    <col min="17" max="22" width="12.625" customWidth="1"/>
  </cols>
  <sheetData>
    <row r="1" spans="1:13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3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46</v>
      </c>
      <c r="H2" s="28"/>
      <c r="I2" s="28"/>
      <c r="J2" s="28"/>
      <c r="K2" s="28"/>
      <c r="L2" s="28"/>
      <c r="M2" s="29"/>
    </row>
    <row r="3" spans="1:13" ht="24.95" customHeight="1" x14ac:dyDescent="0.3">
      <c r="A3" s="30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3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3" ht="20.100000000000001" customHeight="1" x14ac:dyDescent="0.3">
      <c r="A7" s="62" t="s">
        <v>69</v>
      </c>
      <c r="B7" s="36"/>
      <c r="C7" s="64"/>
      <c r="D7" s="36"/>
      <c r="E7" s="36"/>
      <c r="F7" s="36"/>
      <c r="G7" s="36"/>
      <c r="H7" s="37">
        <v>15</v>
      </c>
      <c r="I7" s="37"/>
      <c r="J7" s="39"/>
      <c r="K7" s="40"/>
      <c r="L7" s="40"/>
      <c r="M7" s="41"/>
    </row>
    <row r="8" spans="1:13" ht="20.100000000000001" customHeight="1" thickBot="1" x14ac:dyDescent="0.35">
      <c r="A8" s="63"/>
      <c r="B8" s="37"/>
      <c r="C8" s="65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3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3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</row>
    <row r="11" spans="1:13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3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85" t="s">
        <v>18</v>
      </c>
      <c r="M12" s="87" t="s">
        <v>8</v>
      </c>
    </row>
    <row r="13" spans="1:13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86"/>
      <c r="M13" s="88"/>
    </row>
    <row r="14" spans="1:13" ht="21.95" customHeight="1" x14ac:dyDescent="0.3">
      <c r="A14" s="95" t="s">
        <v>26</v>
      </c>
      <c r="B14" s="3"/>
      <c r="C14" s="3"/>
      <c r="D14" s="3"/>
      <c r="E14" s="11" t="s">
        <v>27</v>
      </c>
      <c r="F14" s="97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91" t="str">
        <f>IF(OR(COUNTIF(B14:D15, "-")+COUNTBLANK(B14:D15)=6), "Pass", IF(H14 &gt; I14, "Fail", IF(J14 &lt; 3, "Margin 부족", "Pass")))</f>
        <v>Pass</v>
      </c>
      <c r="M14" s="93" t="s">
        <v>12</v>
      </c>
    </row>
    <row r="15" spans="1:13" ht="21.95" customHeight="1" thickBot="1" x14ac:dyDescent="0.35">
      <c r="A15" s="96"/>
      <c r="B15" s="7"/>
      <c r="C15" s="7"/>
      <c r="D15" s="7"/>
      <c r="E15" s="12" t="s">
        <v>28</v>
      </c>
      <c r="F15" s="98"/>
      <c r="G15" s="100"/>
      <c r="H15" s="102"/>
      <c r="I15" s="104"/>
      <c r="J15" s="106"/>
      <c r="K15" s="90"/>
      <c r="L15" s="92"/>
      <c r="M15" s="94"/>
    </row>
    <row r="16" spans="1:13" ht="21.95" customHeight="1" thickBot="1" x14ac:dyDescent="0.35">
      <c r="A16" s="107" t="s">
        <v>30</v>
      </c>
      <c r="B16" s="108"/>
      <c r="C16" s="108"/>
      <c r="D16" s="108"/>
      <c r="E16" s="109"/>
      <c r="F16" s="108" t="s">
        <v>30</v>
      </c>
      <c r="G16" s="108"/>
      <c r="H16" s="108"/>
      <c r="I16" s="108"/>
      <c r="J16" s="70"/>
      <c r="K16" s="108"/>
      <c r="L16" s="108"/>
      <c r="M16" s="108"/>
    </row>
    <row r="17" spans="1:16" ht="21.95" customHeight="1" thickTop="1" x14ac:dyDescent="0.3">
      <c r="A17" s="71" t="s">
        <v>43</v>
      </c>
      <c r="B17" s="73" t="s">
        <v>14</v>
      </c>
      <c r="C17" s="73" t="s">
        <v>15</v>
      </c>
      <c r="D17" s="73" t="s">
        <v>16</v>
      </c>
      <c r="E17" s="75" t="s">
        <v>17</v>
      </c>
      <c r="F17" s="71" t="s">
        <v>43</v>
      </c>
      <c r="G17" s="77" t="s">
        <v>17</v>
      </c>
      <c r="H17" s="77" t="s">
        <v>29</v>
      </c>
      <c r="I17" s="79" t="s">
        <v>41</v>
      </c>
      <c r="J17" s="81" t="s">
        <v>42</v>
      </c>
      <c r="K17" s="83" t="s">
        <v>10</v>
      </c>
      <c r="L17" s="85" t="s">
        <v>18</v>
      </c>
      <c r="M17" s="87" t="s">
        <v>8</v>
      </c>
    </row>
    <row r="18" spans="1:16" ht="21.95" customHeight="1" x14ac:dyDescent="0.3">
      <c r="A18" s="72"/>
      <c r="B18" s="74"/>
      <c r="C18" s="74"/>
      <c r="D18" s="74"/>
      <c r="E18" s="76"/>
      <c r="F18" s="72"/>
      <c r="G18" s="78"/>
      <c r="H18" s="78"/>
      <c r="I18" s="80"/>
      <c r="J18" s="82"/>
      <c r="K18" s="84"/>
      <c r="L18" s="86"/>
      <c r="M18" s="88"/>
    </row>
    <row r="19" spans="1:16" ht="21.95" customHeight="1" x14ac:dyDescent="0.3">
      <c r="A19" s="110" t="s">
        <v>26</v>
      </c>
      <c r="B19" s="3"/>
      <c r="C19" s="3"/>
      <c r="D19" s="3"/>
      <c r="E19" s="11" t="s">
        <v>27</v>
      </c>
      <c r="F19" s="112" t="str">
        <f>$A$19</f>
        <v>Spurious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05" t="str">
        <f>IF(OR(I19-H19&gt;10,I19-H19=-30),"No Peak Found",I19-H19)</f>
        <v>No Peak Found</v>
      </c>
      <c r="K19" s="89" t="s">
        <v>9</v>
      </c>
      <c r="L19" s="91" t="str">
        <f>IF(OR(COUNTIF(B19:D20, "-")+COUNTBLANK(B19:D20)=6), "Pass", IF(H19 &gt; I19, "Fail", IF(J19 &lt; 3, "Margin 부족", "Pass")))</f>
        <v>Pass</v>
      </c>
      <c r="M19" s="93" t="s">
        <v>12</v>
      </c>
    </row>
    <row r="20" spans="1:16" ht="21.95" customHeight="1" thickBot="1" x14ac:dyDescent="0.35">
      <c r="A20" s="111"/>
      <c r="B20" s="7"/>
      <c r="C20" s="7"/>
      <c r="D20" s="7"/>
      <c r="E20" s="12" t="s">
        <v>28</v>
      </c>
      <c r="F20" s="113"/>
      <c r="G20" s="114"/>
      <c r="H20" s="115"/>
      <c r="I20" s="116"/>
      <c r="J20" s="106"/>
      <c r="K20" s="117"/>
      <c r="L20" s="118"/>
      <c r="M20" s="119"/>
    </row>
    <row r="21" spans="1:16" ht="21.95" customHeight="1" thickBot="1" x14ac:dyDescent="0.35">
      <c r="A21" s="120" t="s">
        <v>31</v>
      </c>
      <c r="B21" s="121"/>
      <c r="C21" s="121"/>
      <c r="D21" s="121"/>
      <c r="E21" s="121"/>
      <c r="F21" s="122" t="s">
        <v>31</v>
      </c>
      <c r="G21" s="123"/>
      <c r="H21" s="123"/>
      <c r="I21" s="123"/>
      <c r="J21" s="70"/>
      <c r="K21" s="123"/>
      <c r="L21" s="124"/>
      <c r="M21" s="125"/>
    </row>
    <row r="22" spans="1:16" ht="21.95" customHeight="1" thickTop="1" x14ac:dyDescent="0.3">
      <c r="A22" s="126" t="s">
        <v>43</v>
      </c>
      <c r="B22" s="128" t="s">
        <v>14</v>
      </c>
      <c r="C22" s="128" t="s">
        <v>15</v>
      </c>
      <c r="D22" s="128" t="s">
        <v>16</v>
      </c>
      <c r="E22" s="130" t="s">
        <v>17</v>
      </c>
      <c r="F22" s="126" t="s">
        <v>43</v>
      </c>
      <c r="G22" s="132" t="s">
        <v>17</v>
      </c>
      <c r="H22" s="132" t="s">
        <v>29</v>
      </c>
      <c r="I22" s="133" t="s">
        <v>41</v>
      </c>
      <c r="J22" s="81" t="s">
        <v>42</v>
      </c>
      <c r="K22" s="134" t="s">
        <v>10</v>
      </c>
      <c r="L22" s="136" t="s">
        <v>18</v>
      </c>
      <c r="M22" s="138" t="s">
        <v>8</v>
      </c>
    </row>
    <row r="23" spans="1:16" ht="21.75" customHeight="1" x14ac:dyDescent="0.3">
      <c r="A23" s="127"/>
      <c r="B23" s="129"/>
      <c r="C23" s="129"/>
      <c r="D23" s="129"/>
      <c r="E23" s="131"/>
      <c r="F23" s="127"/>
      <c r="G23" s="78"/>
      <c r="H23" s="78"/>
      <c r="I23" s="80"/>
      <c r="J23" s="82"/>
      <c r="K23" s="135"/>
      <c r="L23" s="137"/>
      <c r="M23" s="139"/>
    </row>
    <row r="24" spans="1:16" ht="21.95" customHeight="1" x14ac:dyDescent="0.3">
      <c r="A24" s="140">
        <f>J7*2</f>
        <v>0</v>
      </c>
      <c r="B24" s="4"/>
      <c r="C24" s="4"/>
      <c r="D24" s="4"/>
      <c r="E24" s="13" t="s">
        <v>1</v>
      </c>
      <c r="F24" s="142">
        <f>$A$24</f>
        <v>0</v>
      </c>
      <c r="G24" s="99" t="str">
        <f>IF(COUNT(B24:D24)=0, "H", IF(COUNT(B25:D25)=0, "V", IF(MAX(B24:D24) &gt;= MAX(B25:D25), "V", "H")))</f>
        <v>H</v>
      </c>
      <c r="H24" s="101">
        <f>MAX(B24:D25)</f>
        <v>0</v>
      </c>
      <c r="I24" s="103">
        <v>-30</v>
      </c>
      <c r="J24" s="143" t="str">
        <f>IF(OR(I24-H24&gt;10,I24-H24=-30),"No Peak Found",I24-H24)</f>
        <v>No Peak Found</v>
      </c>
      <c r="K24" s="144" t="s">
        <v>9</v>
      </c>
      <c r="L24" s="117" t="str">
        <f>IF(OR(COUNTIF(B24:D25, "-")+COUNTBLANK(B24:D25)=6), "Pass", IF(H24 &gt; I24, "Fail", IF(J24 &lt; 3, "Margin 부족", "Pass")))</f>
        <v>Pass</v>
      </c>
      <c r="M24" s="146" t="s">
        <v>11</v>
      </c>
    </row>
    <row r="25" spans="1:16" ht="21.95" customHeight="1" x14ac:dyDescent="0.3">
      <c r="A25" s="141"/>
      <c r="B25" s="4"/>
      <c r="C25" s="4"/>
      <c r="D25" s="4"/>
      <c r="E25" s="13" t="s">
        <v>0</v>
      </c>
      <c r="F25" s="142"/>
      <c r="G25" s="99"/>
      <c r="H25" s="101"/>
      <c r="I25" s="103"/>
      <c r="J25" s="143"/>
      <c r="K25" s="144"/>
      <c r="L25" s="145"/>
      <c r="M25" s="147"/>
    </row>
    <row r="26" spans="1:16" ht="21.95" customHeight="1" x14ac:dyDescent="0.3">
      <c r="A26" s="140">
        <f>J7*3</f>
        <v>0</v>
      </c>
      <c r="B26" s="4"/>
      <c r="C26" s="4"/>
      <c r="D26" s="4"/>
      <c r="E26" s="13" t="s">
        <v>1</v>
      </c>
      <c r="F26" s="148">
        <f>$A$26</f>
        <v>0</v>
      </c>
      <c r="G26" s="99" t="str">
        <f>IF(COUNT(B26:D26)=0, "H", IF(COUNT(B27:D27)=0, "V", IF(MAX(B26:D26) &gt;= MAX(B27:D27), "V", "H")))</f>
        <v>H</v>
      </c>
      <c r="H26" s="101">
        <f>MAX(B26:D27)</f>
        <v>0</v>
      </c>
      <c r="I26" s="149">
        <v>-30</v>
      </c>
      <c r="J26" s="143" t="str">
        <f t="shared" ref="J26" si="0">IF(OR(I26-H26&gt;10,I26-H26=-30),"No Peak Found",I26-H26)</f>
        <v>No Peak Found</v>
      </c>
      <c r="K26" s="150" t="s">
        <v>9</v>
      </c>
      <c r="L26" s="117" t="str">
        <f>IF(OR(COUNTIF(B26:D27, "-")+COUNTBLANK(B26:D27)=6), "Pass", IF(H26 &gt; I26, "Fail", IF(J26 &lt; 3, "Margin 부족", "Pass")))</f>
        <v>Pass</v>
      </c>
      <c r="M26" s="146" t="s">
        <v>11</v>
      </c>
    </row>
    <row r="27" spans="1:16" ht="21.95" customHeight="1" x14ac:dyDescent="0.3">
      <c r="A27" s="141"/>
      <c r="B27" s="4"/>
      <c r="C27" s="4"/>
      <c r="D27" s="4"/>
      <c r="E27" s="13" t="s">
        <v>0</v>
      </c>
      <c r="F27" s="148"/>
      <c r="G27" s="99"/>
      <c r="H27" s="101"/>
      <c r="I27" s="149"/>
      <c r="J27" s="143"/>
      <c r="K27" s="150"/>
      <c r="L27" s="145"/>
      <c r="M27" s="147"/>
      <c r="N27" s="8" t="s">
        <v>8</v>
      </c>
    </row>
    <row r="28" spans="1:16" ht="21.95" customHeight="1" x14ac:dyDescent="0.3">
      <c r="A28" s="140">
        <f>J7*4</f>
        <v>0</v>
      </c>
      <c r="B28" s="4"/>
      <c r="C28" s="4"/>
      <c r="D28" s="4"/>
      <c r="E28" s="13" t="s">
        <v>1</v>
      </c>
      <c r="F28" s="142">
        <f>$A$28</f>
        <v>0</v>
      </c>
      <c r="G28" s="99" t="str">
        <f>IF(COUNT(B28:D28)=0, "H", IF(COUNT(B29:D29)=0, "V", IF(MAX(B28:D28) &gt;= MAX(B29:D29), "V", "H")))</f>
        <v>H</v>
      </c>
      <c r="H28" s="101">
        <f>MAX(B28:D29)</f>
        <v>0</v>
      </c>
      <c r="I28" s="149">
        <v>-30</v>
      </c>
      <c r="J28" s="143" t="str">
        <f t="shared" ref="J28" si="1">IF(OR(I28-H28&gt;10,I28-H28=-30),"No Peak Found",I28-H28)</f>
        <v>No Peak Found</v>
      </c>
      <c r="K28" s="171" t="s">
        <v>9</v>
      </c>
      <c r="L28" s="117" t="str">
        <f>IF(OR(COUNTIF(B28:D29, "-")+COUNTBLANK(B28:D29)=6), "Pass", IF(H28 &gt; I28, "Fail", IF(J28 &lt; 3, "Margin 부족", "Pass")))</f>
        <v>Pass</v>
      </c>
      <c r="M28" s="146" t="s">
        <v>11</v>
      </c>
      <c r="N28" s="163" t="str">
        <f>"1. Sub6 NR Band : " &amp; VALUE(RIGHT(A7, LEN(A7)-1))</f>
        <v>1. Sub6 NR Band : 1</v>
      </c>
      <c r="O28" s="164"/>
      <c r="P28" s="164"/>
    </row>
    <row r="29" spans="1:16" ht="21.95" customHeight="1" x14ac:dyDescent="0.3">
      <c r="A29" s="141"/>
      <c r="B29" s="4"/>
      <c r="C29" s="4"/>
      <c r="D29" s="4"/>
      <c r="E29" s="13" t="s">
        <v>0</v>
      </c>
      <c r="F29" s="142"/>
      <c r="G29" s="99"/>
      <c r="H29" s="101"/>
      <c r="I29" s="149"/>
      <c r="J29" s="143"/>
      <c r="K29" s="171"/>
      <c r="L29" s="145"/>
      <c r="M29" s="147"/>
      <c r="N29" s="152" t="str">
        <f>"2. SCS : " &amp; H7 &amp; " kHz"</f>
        <v>2. SCS : 15 kHz</v>
      </c>
      <c r="O29" s="153"/>
      <c r="P29" s="153"/>
    </row>
    <row r="30" spans="1:16" ht="21.95" customHeight="1" x14ac:dyDescent="0.3">
      <c r="A30" s="140">
        <f>J7*5</f>
        <v>0</v>
      </c>
      <c r="B30" s="4"/>
      <c r="C30" s="4"/>
      <c r="D30" s="4"/>
      <c r="E30" s="13" t="s">
        <v>1</v>
      </c>
      <c r="F30" s="148">
        <f>$A$30</f>
        <v>0</v>
      </c>
      <c r="G30" s="99" t="str">
        <f>IF(COUNT(B30:D30)=0, "H", IF(COUNT(B31:D31)=0, "V", IF(MAX(B30:D30) &gt;= MAX(B31:D31), "V", "H")))</f>
        <v>H</v>
      </c>
      <c r="H30" s="101">
        <f>MAX(B30:D31)</f>
        <v>0</v>
      </c>
      <c r="I30" s="149">
        <v>-30</v>
      </c>
      <c r="J30" s="143" t="str">
        <f t="shared" ref="J30" si="2">IF(OR(I30-H30&gt;10,I30-H30=-30),"No Peak Found",I30-H30)</f>
        <v>No Peak Found</v>
      </c>
      <c r="K30" s="171" t="s">
        <v>9</v>
      </c>
      <c r="L30" s="117" t="str">
        <f>IF(OR(COUNTIF(B30:D31, "-")+COUNTBLANK(B30:D31)=6), "Pass", IF(H30 &gt; I30, "Fail", IF(J30 &lt; 3, "Margin 부족", "Pass")))</f>
        <v>Pass</v>
      </c>
      <c r="M30" s="146" t="s">
        <v>11</v>
      </c>
      <c r="N30" s="152" t="str">
        <f>"3. The test was performed the " &amp; I7 &amp; " antenna."</f>
        <v>3. The test was performed the  antenna.</v>
      </c>
      <c r="O30" s="153"/>
      <c r="P30" s="153"/>
    </row>
    <row r="31" spans="1:16" ht="21.95" customHeight="1" thickBot="1" x14ac:dyDescent="0.35">
      <c r="A31" s="165"/>
      <c r="B31" s="9"/>
      <c r="C31" s="9"/>
      <c r="D31" s="9"/>
      <c r="E31" s="14" t="s">
        <v>28</v>
      </c>
      <c r="F31" s="166"/>
      <c r="G31" s="167"/>
      <c r="H31" s="168"/>
      <c r="I31" s="169"/>
      <c r="J31" s="170"/>
      <c r="K31" s="172"/>
      <c r="L31" s="173"/>
      <c r="M31" s="151"/>
      <c r="N31" s="152" t="str">
        <f>"4. " &amp; LEFT(A9, FIND(" ", A9 &amp; " ") - 1) &amp; " Mode Test."</f>
        <v>4. NSA Mode Test.</v>
      </c>
      <c r="O31" s="154"/>
      <c r="P31" s="154"/>
    </row>
    <row r="32" spans="1:16" ht="24.95" customHeight="1" x14ac:dyDescent="0.3">
      <c r="A32" s="155" t="s">
        <v>32</v>
      </c>
      <c r="B32" s="156"/>
      <c r="C32" s="156"/>
      <c r="D32" s="156"/>
      <c r="E32" s="157"/>
      <c r="F32" s="159" t="s">
        <v>49</v>
      </c>
      <c r="G32" s="159"/>
      <c r="H32" s="159"/>
      <c r="I32" s="159"/>
      <c r="J32" s="159"/>
      <c r="K32" s="159"/>
      <c r="L32" s="159"/>
      <c r="M32" s="160"/>
    </row>
    <row r="33" spans="1:13" ht="24.95" customHeight="1" x14ac:dyDescent="0.3">
      <c r="A33" s="158"/>
      <c r="B33" s="156"/>
      <c r="C33" s="156"/>
      <c r="D33" s="156"/>
      <c r="E33" s="157"/>
      <c r="F33" s="161"/>
      <c r="G33" s="161"/>
      <c r="H33" s="161"/>
      <c r="I33" s="161"/>
      <c r="J33" s="161"/>
      <c r="K33" s="161"/>
      <c r="L33" s="161"/>
      <c r="M33" s="162"/>
    </row>
    <row r="34" spans="1:13" ht="21.95" customHeight="1" thickBot="1" x14ac:dyDescent="0.35">
      <c r="A34" s="174" t="s">
        <v>6</v>
      </c>
      <c r="B34" s="175"/>
      <c r="C34" s="175"/>
      <c r="D34" s="175"/>
      <c r="E34" s="176"/>
      <c r="F34" s="177" t="s">
        <v>6</v>
      </c>
      <c r="G34" s="177"/>
      <c r="H34" s="177"/>
      <c r="I34" s="177"/>
      <c r="J34" s="177"/>
      <c r="K34" s="177"/>
      <c r="L34" s="177"/>
      <c r="M34" s="177"/>
    </row>
    <row r="35" spans="1:13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85" t="s">
        <v>18</v>
      </c>
      <c r="M35" s="87" t="s">
        <v>8</v>
      </c>
    </row>
    <row r="36" spans="1:13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86"/>
      <c r="M36" s="88"/>
    </row>
    <row r="37" spans="1:13" ht="21.95" customHeight="1" x14ac:dyDescent="0.3">
      <c r="A37" s="189" t="s">
        <v>26</v>
      </c>
      <c r="B37" s="10"/>
      <c r="C37" s="1"/>
      <c r="D37" s="1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-57</v>
      </c>
      <c r="J37" s="178" t="str">
        <f>IF(OR(I37-H37&gt;10,I37-H37=-57),"No Peak Found",I37-H37)</f>
        <v>No Peak Found</v>
      </c>
      <c r="K37" s="180" t="s">
        <v>9</v>
      </c>
      <c r="L37" s="91" t="str">
        <f>IF(OR(COUNTIF(B37:D38, "-")+COUNTBLANK(B37:D38)=6), "Pass", IF(H37 &gt; I37, "Fail", IF(J37 &lt; 3, "Margin 부족", "Pass")))</f>
        <v>Pass</v>
      </c>
      <c r="M37" s="182" t="s">
        <v>12</v>
      </c>
    </row>
    <row r="38" spans="1:13" ht="21.95" customHeight="1" thickBot="1" x14ac:dyDescent="0.35">
      <c r="A38" s="190"/>
      <c r="B38" s="2"/>
      <c r="C38" s="2"/>
      <c r="D38" s="2"/>
      <c r="E38" s="12" t="s">
        <v>28</v>
      </c>
      <c r="F38" s="192"/>
      <c r="G38" s="194"/>
      <c r="H38" s="196"/>
      <c r="I38" s="198"/>
      <c r="J38" s="179"/>
      <c r="K38" s="181"/>
      <c r="L38" s="92"/>
      <c r="M38" s="183"/>
    </row>
    <row r="39" spans="1:13" ht="21.95" customHeight="1" thickBot="1" x14ac:dyDescent="0.35">
      <c r="A39" s="184" t="s">
        <v>33</v>
      </c>
      <c r="B39" s="185"/>
      <c r="C39" s="185"/>
      <c r="D39" s="185"/>
      <c r="E39" s="186"/>
      <c r="F39" s="70" t="s">
        <v>33</v>
      </c>
      <c r="G39" s="70"/>
      <c r="H39" s="70"/>
      <c r="I39" s="70"/>
      <c r="J39" s="70"/>
      <c r="K39" s="70"/>
      <c r="L39" s="70"/>
      <c r="M39" s="70"/>
    </row>
    <row r="40" spans="1:13" ht="21.95" customHeight="1" thickTop="1" x14ac:dyDescent="0.3">
      <c r="A40" s="71" t="s">
        <v>43</v>
      </c>
      <c r="B40" s="73" t="s">
        <v>14</v>
      </c>
      <c r="C40" s="73" t="s">
        <v>15</v>
      </c>
      <c r="D40" s="73" t="s">
        <v>16</v>
      </c>
      <c r="E40" s="75" t="s">
        <v>17</v>
      </c>
      <c r="F40" s="71" t="s">
        <v>43</v>
      </c>
      <c r="G40" s="77" t="s">
        <v>17</v>
      </c>
      <c r="H40" s="77" t="s">
        <v>29</v>
      </c>
      <c r="I40" s="79" t="s">
        <v>41</v>
      </c>
      <c r="J40" s="81" t="s">
        <v>42</v>
      </c>
      <c r="K40" s="187" t="s">
        <v>10</v>
      </c>
      <c r="L40" s="85" t="s">
        <v>18</v>
      </c>
      <c r="M40" s="87" t="s">
        <v>8</v>
      </c>
    </row>
    <row r="41" spans="1:13" ht="21.95" customHeight="1" x14ac:dyDescent="0.3">
      <c r="A41" s="72"/>
      <c r="B41" s="74"/>
      <c r="C41" s="74"/>
      <c r="D41" s="74"/>
      <c r="E41" s="76"/>
      <c r="F41" s="72"/>
      <c r="G41" s="78"/>
      <c r="H41" s="78"/>
      <c r="I41" s="80"/>
      <c r="J41" s="82"/>
      <c r="K41" s="188"/>
      <c r="L41" s="86"/>
      <c r="M41" s="88"/>
    </row>
    <row r="42" spans="1:13" ht="21.95" customHeight="1" x14ac:dyDescent="0.3">
      <c r="A42" s="189" t="s">
        <v>26</v>
      </c>
      <c r="B42" s="10"/>
      <c r="C42" s="1"/>
      <c r="D42" s="1"/>
      <c r="E42" s="11" t="s">
        <v>27</v>
      </c>
      <c r="F42" s="191" t="str">
        <f>A42</f>
        <v>Spurious</v>
      </c>
      <c r="G42" s="193" t="str">
        <f>IF(COUNT(B42:D42)=0, "H", IF(COUNT(B43:D43)=0, "V", IF(MAX(B42:D42) &gt;= MAX(B43:D43), "V", "H")))</f>
        <v>H</v>
      </c>
      <c r="H42" s="195">
        <f>MAX(B42:D43)</f>
        <v>0</v>
      </c>
      <c r="I42" s="197">
        <v>-47</v>
      </c>
      <c r="J42" s="178" t="str">
        <f>IF(OR(I42-H42&gt;10,I42-H42=-47),"No Peak Found",I42-H42)</f>
        <v>No Peak Found</v>
      </c>
      <c r="K42" s="180" t="s">
        <v>9</v>
      </c>
      <c r="L42" s="91" t="str">
        <f>IF(OR(COUNTIF(B42:D43, "-")+COUNTBLANK(B42:D43)=6), "Pass", IF(H42 &gt; I42, "Fail", IF(J42 &lt; 3, "Margin 부족", "Pass")))</f>
        <v>Pass</v>
      </c>
      <c r="M42" s="182" t="s">
        <v>12</v>
      </c>
    </row>
    <row r="43" spans="1:13" ht="21.95" customHeight="1" thickBot="1" x14ac:dyDescent="0.35">
      <c r="A43" s="190"/>
      <c r="B43" s="2"/>
      <c r="C43" s="2"/>
      <c r="D43" s="2"/>
      <c r="E43" s="12" t="s">
        <v>28</v>
      </c>
      <c r="F43" s="192"/>
      <c r="G43" s="194"/>
      <c r="H43" s="196"/>
      <c r="I43" s="198"/>
      <c r="J43" s="179"/>
      <c r="K43" s="181"/>
      <c r="L43" s="92"/>
      <c r="M43" s="183"/>
    </row>
    <row r="44" spans="1:13" ht="21.95" customHeight="1" thickBot="1" x14ac:dyDescent="0.35"/>
    <row r="45" spans="1:13" ht="21.95" customHeight="1" x14ac:dyDescent="0.3">
      <c r="A45" s="30" t="s">
        <v>67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2"/>
    </row>
    <row r="46" spans="1:13" ht="21.95" customHeight="1" thickBot="1" x14ac:dyDescent="0.35">
      <c r="A46" s="231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4"/>
    </row>
    <row r="47" spans="1:13" ht="21.95" customHeight="1" x14ac:dyDescent="0.3">
      <c r="A47" s="235" t="s">
        <v>19</v>
      </c>
      <c r="B47" s="254" t="s">
        <v>68</v>
      </c>
      <c r="C47" s="236" t="s">
        <v>22</v>
      </c>
      <c r="D47" s="237" t="s">
        <v>23</v>
      </c>
      <c r="E47" s="237" t="s">
        <v>20</v>
      </c>
      <c r="F47" s="237" t="s">
        <v>21</v>
      </c>
      <c r="G47" s="237" t="s">
        <v>24</v>
      </c>
      <c r="H47" s="238" t="s">
        <v>39</v>
      </c>
      <c r="I47" s="239" t="s">
        <v>37</v>
      </c>
      <c r="J47" s="240" t="s">
        <v>40</v>
      </c>
      <c r="K47" s="241"/>
      <c r="L47" s="241"/>
      <c r="M47" s="242"/>
    </row>
    <row r="48" spans="1:13" ht="21.95" customHeight="1" x14ac:dyDescent="0.3">
      <c r="A48" s="243"/>
      <c r="B48" s="233"/>
      <c r="C48" s="229"/>
      <c r="D48" s="53"/>
      <c r="E48" s="53"/>
      <c r="F48" s="53"/>
      <c r="G48" s="53"/>
      <c r="H48" s="52"/>
      <c r="I48" s="52"/>
      <c r="J48" s="59"/>
      <c r="K48" s="60"/>
      <c r="L48" s="60"/>
      <c r="M48" s="244"/>
    </row>
    <row r="49" spans="1:16" ht="21.95" customHeight="1" x14ac:dyDescent="0.3">
      <c r="A49" s="245" t="s">
        <v>69</v>
      </c>
      <c r="B49" s="255"/>
      <c r="C49" s="230"/>
      <c r="D49" s="36"/>
      <c r="E49" s="36"/>
      <c r="F49" s="36"/>
      <c r="G49" s="36"/>
      <c r="H49" s="37">
        <v>15</v>
      </c>
      <c r="I49" s="37"/>
      <c r="J49" s="39"/>
      <c r="K49" s="40"/>
      <c r="L49" s="40"/>
      <c r="M49" s="246"/>
    </row>
    <row r="50" spans="1:16" ht="21.95" customHeight="1" thickBot="1" x14ac:dyDescent="0.35">
      <c r="A50" s="247"/>
      <c r="B50" s="256"/>
      <c r="C50" s="248"/>
      <c r="D50" s="249"/>
      <c r="E50" s="249"/>
      <c r="F50" s="249"/>
      <c r="G50" s="249"/>
      <c r="H50" s="250"/>
      <c r="I50" s="250"/>
      <c r="J50" s="251"/>
      <c r="K50" s="252"/>
      <c r="L50" s="252"/>
      <c r="M50" s="253"/>
    </row>
    <row r="51" spans="1:16" ht="21.95" customHeight="1" x14ac:dyDescent="0.3">
      <c r="A51" s="155" t="s">
        <v>44</v>
      </c>
      <c r="B51" s="159"/>
      <c r="C51" s="159"/>
      <c r="D51" s="159"/>
      <c r="E51" s="160"/>
      <c r="F51" s="155" t="s">
        <v>50</v>
      </c>
      <c r="G51" s="159"/>
      <c r="H51" s="159"/>
      <c r="I51" s="159"/>
      <c r="J51" s="159"/>
      <c r="K51" s="159"/>
      <c r="L51" s="159"/>
      <c r="M51" s="160"/>
    </row>
    <row r="52" spans="1:16" ht="21.95" customHeight="1" x14ac:dyDescent="0.3">
      <c r="A52" s="228"/>
      <c r="B52" s="161"/>
      <c r="C52" s="161"/>
      <c r="D52" s="161"/>
      <c r="E52" s="162"/>
      <c r="F52" s="228"/>
      <c r="G52" s="161"/>
      <c r="H52" s="161"/>
      <c r="I52" s="161"/>
      <c r="J52" s="161"/>
      <c r="K52" s="161"/>
      <c r="L52" s="161"/>
      <c r="M52" s="162"/>
    </row>
    <row r="53" spans="1:16" ht="21.95" customHeight="1" thickBot="1" x14ac:dyDescent="0.35">
      <c r="A53" s="67" t="s">
        <v>7</v>
      </c>
      <c r="B53" s="68"/>
      <c r="C53" s="68"/>
      <c r="D53" s="68"/>
      <c r="E53" s="69"/>
      <c r="F53" s="68" t="s">
        <v>7</v>
      </c>
      <c r="G53" s="68"/>
      <c r="H53" s="68"/>
      <c r="I53" s="68"/>
      <c r="J53" s="70"/>
      <c r="K53" s="68"/>
      <c r="L53" s="68"/>
      <c r="M53" s="69"/>
    </row>
    <row r="54" spans="1:16" ht="21.95" customHeight="1" thickTop="1" x14ac:dyDescent="0.3">
      <c r="A54" s="71" t="s">
        <v>43</v>
      </c>
      <c r="B54" s="73" t="s">
        <v>4</v>
      </c>
      <c r="C54" s="73" t="s">
        <v>15</v>
      </c>
      <c r="D54" s="73" t="s">
        <v>3</v>
      </c>
      <c r="E54" s="75" t="s">
        <v>2</v>
      </c>
      <c r="F54" s="71" t="s">
        <v>43</v>
      </c>
      <c r="G54" s="77" t="s">
        <v>17</v>
      </c>
      <c r="H54" s="77" t="s">
        <v>29</v>
      </c>
      <c r="I54" s="79" t="s">
        <v>41</v>
      </c>
      <c r="J54" s="81" t="s">
        <v>42</v>
      </c>
      <c r="K54" s="83" t="s">
        <v>10</v>
      </c>
      <c r="L54" s="85" t="s">
        <v>18</v>
      </c>
      <c r="M54" s="87" t="s">
        <v>8</v>
      </c>
    </row>
    <row r="55" spans="1:16" ht="21.95" customHeight="1" x14ac:dyDescent="0.3">
      <c r="A55" s="72"/>
      <c r="B55" s="74"/>
      <c r="C55" s="74"/>
      <c r="D55" s="74"/>
      <c r="E55" s="76"/>
      <c r="F55" s="72"/>
      <c r="G55" s="78"/>
      <c r="H55" s="78"/>
      <c r="I55" s="80"/>
      <c r="J55" s="82"/>
      <c r="K55" s="84"/>
      <c r="L55" s="86"/>
      <c r="M55" s="88"/>
    </row>
    <row r="56" spans="1:16" ht="21.95" customHeight="1" x14ac:dyDescent="0.3">
      <c r="A56" s="95" t="s">
        <v>26</v>
      </c>
      <c r="B56" s="3"/>
      <c r="C56" s="3"/>
      <c r="D56" s="3"/>
      <c r="E56" s="11" t="s">
        <v>27</v>
      </c>
      <c r="F56" s="97" t="str">
        <f>A56</f>
        <v>Spurious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-36</v>
      </c>
      <c r="J56" s="105" t="str">
        <f>IF(OR(I56-H56&gt;10,I56-H56=-36),"No Peak Found",I56-H56)</f>
        <v>No Peak Found</v>
      </c>
      <c r="K56" s="89" t="s">
        <v>9</v>
      </c>
      <c r="L56" s="91" t="str">
        <f>IF(OR(COUNTIF(B56:D57, "-")+COUNTBLANK(B56:D57)=6), "Pass", IF(H56 &gt; I56, "Fail", IF(J56 &lt; 3, "Margin 부족", "Pass")))</f>
        <v>Pass</v>
      </c>
      <c r="M56" s="93" t="s">
        <v>12</v>
      </c>
    </row>
    <row r="57" spans="1:16" ht="21.95" customHeight="1" thickBot="1" x14ac:dyDescent="0.35">
      <c r="A57" s="96"/>
      <c r="B57" s="7"/>
      <c r="C57" s="7"/>
      <c r="D57" s="7"/>
      <c r="E57" s="12" t="s">
        <v>28</v>
      </c>
      <c r="F57" s="98"/>
      <c r="G57" s="100"/>
      <c r="H57" s="102"/>
      <c r="I57" s="104"/>
      <c r="J57" s="106"/>
      <c r="K57" s="90"/>
      <c r="L57" s="92"/>
      <c r="M57" s="94"/>
    </row>
    <row r="58" spans="1:16" ht="21.95" customHeight="1" thickBot="1" x14ac:dyDescent="0.35">
      <c r="A58" s="107" t="s">
        <v>30</v>
      </c>
      <c r="B58" s="108"/>
      <c r="C58" s="108"/>
      <c r="D58" s="108"/>
      <c r="E58" s="109"/>
      <c r="F58" s="108" t="s">
        <v>30</v>
      </c>
      <c r="G58" s="108"/>
      <c r="H58" s="108"/>
      <c r="I58" s="108"/>
      <c r="J58" s="70"/>
      <c r="K58" s="108"/>
      <c r="L58" s="108"/>
      <c r="M58" s="108"/>
    </row>
    <row r="59" spans="1:16" ht="21.95" customHeight="1" thickTop="1" x14ac:dyDescent="0.3">
      <c r="A59" s="71" t="s">
        <v>43</v>
      </c>
      <c r="B59" s="73" t="s">
        <v>14</v>
      </c>
      <c r="C59" s="73" t="s">
        <v>15</v>
      </c>
      <c r="D59" s="73" t="s">
        <v>16</v>
      </c>
      <c r="E59" s="75" t="s">
        <v>17</v>
      </c>
      <c r="F59" s="71" t="s">
        <v>43</v>
      </c>
      <c r="G59" s="77" t="s">
        <v>17</v>
      </c>
      <c r="H59" s="77" t="s">
        <v>29</v>
      </c>
      <c r="I59" s="79" t="s">
        <v>41</v>
      </c>
      <c r="J59" s="81" t="s">
        <v>42</v>
      </c>
      <c r="K59" s="83" t="s">
        <v>10</v>
      </c>
      <c r="L59" s="85" t="s">
        <v>18</v>
      </c>
      <c r="M59" s="87" t="s">
        <v>8</v>
      </c>
    </row>
    <row r="60" spans="1:16" ht="21.95" customHeight="1" x14ac:dyDescent="0.3">
      <c r="A60" s="72"/>
      <c r="B60" s="74"/>
      <c r="C60" s="74"/>
      <c r="D60" s="74"/>
      <c r="E60" s="76"/>
      <c r="F60" s="72"/>
      <c r="G60" s="78"/>
      <c r="H60" s="78"/>
      <c r="I60" s="80"/>
      <c r="J60" s="82"/>
      <c r="K60" s="84"/>
      <c r="L60" s="86"/>
      <c r="M60" s="88"/>
    </row>
    <row r="61" spans="1:16" ht="21.95" customHeight="1" x14ac:dyDescent="0.3">
      <c r="A61" s="110" t="s">
        <v>26</v>
      </c>
      <c r="B61" s="3"/>
      <c r="C61" s="3"/>
      <c r="D61" s="3"/>
      <c r="E61" s="11" t="s">
        <v>27</v>
      </c>
      <c r="F61" s="112" t="str">
        <f>$A$19</f>
        <v>Spurious</v>
      </c>
      <c r="G61" s="99" t="str">
        <f>IF(COUNT(B61:D61)=0, "H", IF(COUNT(B62:D62)=0, "V", IF(MAX(B61:D61) &gt;= MAX(B62:D62), "V", "H")))</f>
        <v>H</v>
      </c>
      <c r="H61" s="101">
        <f>MAX(B61:D62)</f>
        <v>0</v>
      </c>
      <c r="I61" s="103">
        <v>-30</v>
      </c>
      <c r="J61" s="105" t="str">
        <f>IF(OR(I61-H61&gt;10,I61-H61=-30),"No Peak Found",I61-H61)</f>
        <v>No Peak Found</v>
      </c>
      <c r="K61" s="89" t="s">
        <v>9</v>
      </c>
      <c r="L61" s="91" t="str">
        <f>IF(OR(COUNTIF(B61:D62, "-")+COUNTBLANK(B61:D62)=6), "Pass", IF(H61 &gt; I61, "Fail", IF(J61 &lt; 3, "Margin 부족", "Pass")))</f>
        <v>Pass</v>
      </c>
      <c r="M61" s="93" t="s">
        <v>12</v>
      </c>
    </row>
    <row r="62" spans="1:16" ht="21.95" customHeight="1" thickBot="1" x14ac:dyDescent="0.35">
      <c r="A62" s="111"/>
      <c r="B62" s="7"/>
      <c r="C62" s="7"/>
      <c r="D62" s="7"/>
      <c r="E62" s="12" t="s">
        <v>28</v>
      </c>
      <c r="F62" s="113"/>
      <c r="G62" s="114"/>
      <c r="H62" s="115"/>
      <c r="I62" s="116"/>
      <c r="J62" s="106"/>
      <c r="K62" s="117"/>
      <c r="L62" s="118"/>
      <c r="M62" s="119"/>
    </row>
    <row r="63" spans="1:16" ht="21.95" customHeight="1" thickBot="1" x14ac:dyDescent="0.35">
      <c r="A63" s="120" t="s">
        <v>31</v>
      </c>
      <c r="B63" s="121"/>
      <c r="C63" s="121"/>
      <c r="D63" s="121"/>
      <c r="E63" s="121"/>
      <c r="F63" s="122" t="s">
        <v>31</v>
      </c>
      <c r="G63" s="123"/>
      <c r="H63" s="123"/>
      <c r="I63" s="123"/>
      <c r="J63" s="70"/>
      <c r="K63" s="123"/>
      <c r="L63" s="124"/>
      <c r="M63" s="125"/>
      <c r="N63" s="8" t="s">
        <v>8</v>
      </c>
    </row>
    <row r="64" spans="1:16" ht="21.95" customHeight="1" thickTop="1" x14ac:dyDescent="0.3">
      <c r="A64" s="71" t="s">
        <v>43</v>
      </c>
      <c r="B64" s="73" t="s">
        <v>14</v>
      </c>
      <c r="C64" s="73" t="s">
        <v>15</v>
      </c>
      <c r="D64" s="73" t="s">
        <v>16</v>
      </c>
      <c r="E64" s="75" t="s">
        <v>17</v>
      </c>
      <c r="F64" s="202" t="s">
        <v>43</v>
      </c>
      <c r="G64" s="132" t="s">
        <v>17</v>
      </c>
      <c r="H64" s="132" t="s">
        <v>29</v>
      </c>
      <c r="I64" s="133" t="s">
        <v>41</v>
      </c>
      <c r="J64" s="81" t="s">
        <v>42</v>
      </c>
      <c r="K64" s="134" t="s">
        <v>10</v>
      </c>
      <c r="L64" s="136" t="s">
        <v>18</v>
      </c>
      <c r="M64" s="138" t="s">
        <v>8</v>
      </c>
      <c r="N64" s="163" t="str">
        <f>"1. Sub6 NR Band : " &amp; VALUE(RIGHT(A7, LEN(A7)-1))</f>
        <v>1. Sub6 NR Band : 1</v>
      </c>
      <c r="O64" s="164"/>
      <c r="P64" s="164"/>
    </row>
    <row r="65" spans="1:16" ht="21.95" customHeight="1" x14ac:dyDescent="0.3">
      <c r="A65" s="72"/>
      <c r="B65" s="129"/>
      <c r="C65" s="129"/>
      <c r="D65" s="129"/>
      <c r="E65" s="76"/>
      <c r="F65" s="84"/>
      <c r="G65" s="78"/>
      <c r="H65" s="78"/>
      <c r="I65" s="80"/>
      <c r="J65" s="82"/>
      <c r="K65" s="135"/>
      <c r="L65" s="137"/>
      <c r="M65" s="139"/>
      <c r="N65" s="152" t="str">
        <f>"2. SCS : " &amp; H7 &amp; " kHz"</f>
        <v>2. SCS : 15 kHz</v>
      </c>
      <c r="O65" s="153"/>
      <c r="P65" s="153"/>
    </row>
    <row r="66" spans="1:16" ht="21.95" customHeight="1" x14ac:dyDescent="0.3">
      <c r="A66" s="199">
        <f>J7*2</f>
        <v>0</v>
      </c>
      <c r="B66" s="4"/>
      <c r="C66" s="4"/>
      <c r="D66" s="4"/>
      <c r="E66" s="16" t="s">
        <v>1</v>
      </c>
      <c r="F66" s="201">
        <f>$A$24</f>
        <v>0</v>
      </c>
      <c r="G66" s="99" t="str">
        <f>IF(COUNT(B66:D66)=0, "H", IF(COUNT(B67:D67)=0, "V", IF(MAX(B66:D66) &gt;= MAX(B67:D67), "V", "H")))</f>
        <v>H</v>
      </c>
      <c r="H66" s="101">
        <f>MAX(B66:D67)</f>
        <v>0</v>
      </c>
      <c r="I66" s="103">
        <v>-30</v>
      </c>
      <c r="J66" s="143" t="str">
        <f>IF(OR(I66-H66&gt;10,I66-H66=-30),"No Peak Found",I66-H66)</f>
        <v>No Peak Found</v>
      </c>
      <c r="K66" s="144" t="s">
        <v>9</v>
      </c>
      <c r="L66" s="117" t="str">
        <f>IF(OR(COUNTIF(B66:D67, "-")+COUNTBLANK(B66:D67)=6), "Pass", IF(H66 &gt; I66, "Fail", IF(J66 &lt; 3, "Margin 부족", "Pass")))</f>
        <v>Pass</v>
      </c>
      <c r="M66" s="146" t="s">
        <v>11</v>
      </c>
      <c r="N66" s="152" t="str">
        <f>"3. The test was performed the " &amp; I7 &amp; " antenna."</f>
        <v>3. The test was performed the  antenna.</v>
      </c>
      <c r="O66" s="153"/>
      <c r="P66" s="153"/>
    </row>
    <row r="67" spans="1:16" ht="21.95" customHeight="1" x14ac:dyDescent="0.3">
      <c r="A67" s="200"/>
      <c r="B67" s="4"/>
      <c r="C67" s="4"/>
      <c r="D67" s="4"/>
      <c r="E67" s="16" t="s">
        <v>0</v>
      </c>
      <c r="F67" s="201"/>
      <c r="G67" s="99"/>
      <c r="H67" s="101"/>
      <c r="I67" s="103"/>
      <c r="J67" s="143"/>
      <c r="K67" s="144"/>
      <c r="L67" s="145"/>
      <c r="M67" s="147"/>
      <c r="N67" s="152" t="str">
        <f>"4. " &amp; LEFT(A51, FIND(" ", A51 &amp; " ") - 1) &amp; " Mode Test."</f>
        <v>4. SA Mode Test.</v>
      </c>
      <c r="O67" s="154"/>
      <c r="P67" s="154"/>
    </row>
    <row r="68" spans="1:16" ht="21.95" customHeight="1" x14ac:dyDescent="0.3">
      <c r="A68" s="199">
        <f>J7*3</f>
        <v>0</v>
      </c>
      <c r="B68" s="4"/>
      <c r="C68" s="4"/>
      <c r="D68" s="4"/>
      <c r="E68" s="16" t="s">
        <v>1</v>
      </c>
      <c r="F68" s="203">
        <f>$A$26</f>
        <v>0</v>
      </c>
      <c r="G68" s="99" t="str">
        <f>IF(COUNT(B68:D68)=0, "H", IF(COUNT(B69:D69)=0, "V", IF(MAX(B68:D68) &gt;= MAX(B69:D69), "V", "H")))</f>
        <v>H</v>
      </c>
      <c r="H68" s="101">
        <f>MAX(B68:D69)</f>
        <v>0</v>
      </c>
      <c r="I68" s="149">
        <v>-30</v>
      </c>
      <c r="J68" s="143" t="str">
        <f t="shared" ref="J68" si="3">IF(OR(I68-H68&gt;10,I68-H68=-30),"No Peak Found",I68-H68)</f>
        <v>No Peak Found</v>
      </c>
      <c r="K68" s="150" t="s">
        <v>9</v>
      </c>
      <c r="L68" s="117" t="str">
        <f>IF(OR(COUNTIF(B68:D69, "-")+COUNTBLANK(B68:D69)=6), "Pass", IF(H68 &gt; I68, "Fail", IF(J68 &lt; 3, "Margin 부족", "Pass")))</f>
        <v>Pass</v>
      </c>
      <c r="M68" s="146" t="s">
        <v>11</v>
      </c>
    </row>
    <row r="69" spans="1:16" ht="21.95" customHeight="1" x14ac:dyDescent="0.3">
      <c r="A69" s="200"/>
      <c r="B69" s="4"/>
      <c r="C69" s="4"/>
      <c r="D69" s="4"/>
      <c r="E69" s="16" t="s">
        <v>0</v>
      </c>
      <c r="F69" s="203"/>
      <c r="G69" s="99"/>
      <c r="H69" s="101"/>
      <c r="I69" s="149"/>
      <c r="J69" s="143"/>
      <c r="K69" s="150"/>
      <c r="L69" s="145"/>
      <c r="M69" s="147"/>
    </row>
    <row r="70" spans="1:16" ht="21.95" customHeight="1" x14ac:dyDescent="0.3">
      <c r="A70" s="199">
        <f>J7*4</f>
        <v>0</v>
      </c>
      <c r="B70" s="4"/>
      <c r="C70" s="4"/>
      <c r="D70" s="4"/>
      <c r="E70" s="16" t="s">
        <v>1</v>
      </c>
      <c r="F70" s="201">
        <f>$A$28</f>
        <v>0</v>
      </c>
      <c r="G70" s="99" t="str">
        <f>IF(COUNT(B70:D70)=0, "H", IF(COUNT(B71:D71)=0, "V", IF(MAX(B70:D70) &gt;= MAX(B71:D71), "V", "H")))</f>
        <v>H</v>
      </c>
      <c r="H70" s="101">
        <f>MAX(B70:D71)</f>
        <v>0</v>
      </c>
      <c r="I70" s="149">
        <v>-30</v>
      </c>
      <c r="J70" s="143" t="str">
        <f t="shared" ref="J70" si="4">IF(OR(I70-H70&gt;10,I70-H70=-30),"No Peak Found",I70-H70)</f>
        <v>No Peak Found</v>
      </c>
      <c r="K70" s="171" t="s">
        <v>9</v>
      </c>
      <c r="L70" s="117" t="str">
        <f>IF(OR(COUNTIF(B70:D71, "-")+COUNTBLANK(B70:D71)=6), "Pass", IF(H70 &gt; I70, "Fail", IF(J70 &lt; 3, "Margin 부족", "Pass")))</f>
        <v>Pass</v>
      </c>
      <c r="M70" s="146" t="s">
        <v>11</v>
      </c>
    </row>
    <row r="71" spans="1:16" ht="21.95" customHeight="1" x14ac:dyDescent="0.3">
      <c r="A71" s="200"/>
      <c r="B71" s="4"/>
      <c r="C71" s="4"/>
      <c r="D71" s="4"/>
      <c r="E71" s="16" t="s">
        <v>0</v>
      </c>
      <c r="F71" s="201"/>
      <c r="G71" s="99"/>
      <c r="H71" s="101"/>
      <c r="I71" s="149"/>
      <c r="J71" s="143"/>
      <c r="K71" s="171"/>
      <c r="L71" s="145"/>
      <c r="M71" s="147"/>
    </row>
    <row r="72" spans="1:16" ht="21.95" customHeight="1" x14ac:dyDescent="0.3">
      <c r="A72" s="199">
        <f>J7*5</f>
        <v>0</v>
      </c>
      <c r="B72" s="4"/>
      <c r="C72" s="4"/>
      <c r="D72" s="4"/>
      <c r="E72" s="16" t="s">
        <v>1</v>
      </c>
      <c r="F72" s="203">
        <f>$A$30</f>
        <v>0</v>
      </c>
      <c r="G72" s="99" t="str">
        <f>IF(COUNT(B72:D72)=0, "H", IF(COUNT(B73:D73)=0, "V", IF(MAX(B72:D72) &gt;= MAX(B73:D73), "V", "H")))</f>
        <v>H</v>
      </c>
      <c r="H72" s="101">
        <f>MAX(B72:D73)</f>
        <v>0</v>
      </c>
      <c r="I72" s="149">
        <v>-30</v>
      </c>
      <c r="J72" s="143" t="str">
        <f t="shared" ref="J72" si="5">IF(OR(I72-H72&gt;10,I72-H72=-30),"No Peak Found",I72-H72)</f>
        <v>No Peak Found</v>
      </c>
      <c r="K72" s="171" t="s">
        <v>9</v>
      </c>
      <c r="L72" s="117" t="str">
        <f>IF(OR(COUNTIF(B72:D73, "-")+COUNTBLANK(B72:D73)=6), "Pass", IF(H72 &gt; I72, "Fail", IF(J72 &lt; 3, "Margin 부족", "Pass")))</f>
        <v>Pass</v>
      </c>
      <c r="M72" s="146" t="s">
        <v>11</v>
      </c>
    </row>
    <row r="73" spans="1:16" ht="21.95" customHeight="1" thickBot="1" x14ac:dyDescent="0.35">
      <c r="A73" s="204"/>
      <c r="B73" s="17"/>
      <c r="C73" s="17"/>
      <c r="D73" s="17"/>
      <c r="E73" s="18" t="s">
        <v>28</v>
      </c>
      <c r="F73" s="205"/>
      <c r="G73" s="167"/>
      <c r="H73" s="168"/>
      <c r="I73" s="169"/>
      <c r="J73" s="170"/>
      <c r="K73" s="172"/>
      <c r="L73" s="173"/>
      <c r="M73" s="151"/>
    </row>
    <row r="74" spans="1:16" ht="21.95" customHeight="1" x14ac:dyDescent="0.3">
      <c r="A74" s="155" t="s">
        <v>45</v>
      </c>
      <c r="B74" s="156"/>
      <c r="C74" s="156"/>
      <c r="D74" s="156"/>
      <c r="E74" s="157"/>
      <c r="F74" s="159" t="s">
        <v>51</v>
      </c>
      <c r="G74" s="159"/>
      <c r="H74" s="159"/>
      <c r="I74" s="159"/>
      <c r="J74" s="159"/>
      <c r="K74" s="159"/>
      <c r="L74" s="159"/>
      <c r="M74" s="160"/>
    </row>
    <row r="75" spans="1:16" ht="21.95" customHeight="1" x14ac:dyDescent="0.3">
      <c r="A75" s="158"/>
      <c r="B75" s="156"/>
      <c r="C75" s="156"/>
      <c r="D75" s="156"/>
      <c r="E75" s="157"/>
      <c r="F75" s="161"/>
      <c r="G75" s="161"/>
      <c r="H75" s="161"/>
      <c r="I75" s="161"/>
      <c r="J75" s="161"/>
      <c r="K75" s="161"/>
      <c r="L75" s="161"/>
      <c r="M75" s="162"/>
    </row>
    <row r="76" spans="1:16" ht="21.95" customHeight="1" thickBot="1" x14ac:dyDescent="0.35">
      <c r="A76" s="174" t="s">
        <v>6</v>
      </c>
      <c r="B76" s="175"/>
      <c r="C76" s="175"/>
      <c r="D76" s="175"/>
      <c r="E76" s="176"/>
      <c r="F76" s="177" t="s">
        <v>6</v>
      </c>
      <c r="G76" s="177"/>
      <c r="H76" s="177"/>
      <c r="I76" s="177"/>
      <c r="J76" s="177"/>
      <c r="K76" s="177"/>
      <c r="L76" s="177"/>
      <c r="M76" s="177"/>
    </row>
    <row r="77" spans="1:16" ht="21.95" customHeight="1" thickTop="1" x14ac:dyDescent="0.3">
      <c r="A77" s="71" t="s">
        <v>43</v>
      </c>
      <c r="B77" s="73" t="s">
        <v>14</v>
      </c>
      <c r="C77" s="73" t="s">
        <v>15</v>
      </c>
      <c r="D77" s="73" t="s">
        <v>16</v>
      </c>
      <c r="E77" s="75" t="s">
        <v>17</v>
      </c>
      <c r="F77" s="71" t="s">
        <v>43</v>
      </c>
      <c r="G77" s="77" t="s">
        <v>17</v>
      </c>
      <c r="H77" s="77" t="s">
        <v>29</v>
      </c>
      <c r="I77" s="79" t="s">
        <v>41</v>
      </c>
      <c r="J77" s="81" t="s">
        <v>42</v>
      </c>
      <c r="K77" s="187" t="s">
        <v>10</v>
      </c>
      <c r="L77" s="85" t="s">
        <v>18</v>
      </c>
      <c r="M77" s="87" t="s">
        <v>8</v>
      </c>
    </row>
    <row r="78" spans="1:16" ht="21.95" customHeight="1" x14ac:dyDescent="0.3">
      <c r="A78" s="72"/>
      <c r="B78" s="74"/>
      <c r="C78" s="74"/>
      <c r="D78" s="74"/>
      <c r="E78" s="76"/>
      <c r="F78" s="72"/>
      <c r="G78" s="78"/>
      <c r="H78" s="78"/>
      <c r="I78" s="80"/>
      <c r="J78" s="82"/>
      <c r="K78" s="188"/>
      <c r="L78" s="86"/>
      <c r="M78" s="88"/>
    </row>
    <row r="79" spans="1:16" ht="21.95" customHeight="1" x14ac:dyDescent="0.3">
      <c r="A79" s="189" t="s">
        <v>26</v>
      </c>
      <c r="B79" s="10"/>
      <c r="C79" s="1"/>
      <c r="D79" s="1"/>
      <c r="E79" s="11" t="s">
        <v>27</v>
      </c>
      <c r="F79" s="191" t="str">
        <f>A79</f>
        <v>Spurious</v>
      </c>
      <c r="G79" s="193" t="str">
        <f>IF(COUNT(B79:D79)=0, "H", IF(COUNT(B80:D80)=0, "V", IF(MAX(B79:D79) &gt;= MAX(B80:D80), "V", "H")))</f>
        <v>H</v>
      </c>
      <c r="H79" s="195">
        <f>MAX(B79:D80)</f>
        <v>0</v>
      </c>
      <c r="I79" s="197">
        <v>-57</v>
      </c>
      <c r="J79" s="178" t="str">
        <f>IF(OR(I79-H79&gt;10,I79-H79=-57),"No Peak Found",I79-H79)</f>
        <v>No Peak Found</v>
      </c>
      <c r="K79" s="180" t="s">
        <v>9</v>
      </c>
      <c r="L79" s="91" t="str">
        <f>IF(OR(COUNTIF(B79:D80, "-")+COUNTBLANK(B79:D80)=6), "Pass", IF(H79 &gt; I79, "Fail", IF(J79 &lt; 3, "Margin 부족", "Pass")))</f>
        <v>Pass</v>
      </c>
      <c r="M79" s="182" t="s">
        <v>12</v>
      </c>
    </row>
    <row r="80" spans="1:16" ht="21.95" customHeight="1" thickBot="1" x14ac:dyDescent="0.35">
      <c r="A80" s="190"/>
      <c r="B80" s="2"/>
      <c r="C80" s="2"/>
      <c r="D80" s="2"/>
      <c r="E80" s="12" t="s">
        <v>28</v>
      </c>
      <c r="F80" s="192"/>
      <c r="G80" s="194"/>
      <c r="H80" s="196"/>
      <c r="I80" s="198"/>
      <c r="J80" s="179"/>
      <c r="K80" s="181"/>
      <c r="L80" s="92"/>
      <c r="M80" s="183"/>
    </row>
    <row r="81" spans="1:13" ht="21.95" customHeight="1" thickBot="1" x14ac:dyDescent="0.35">
      <c r="A81" s="184" t="s">
        <v>33</v>
      </c>
      <c r="B81" s="185"/>
      <c r="C81" s="185"/>
      <c r="D81" s="185"/>
      <c r="E81" s="186"/>
      <c r="F81" s="70" t="s">
        <v>33</v>
      </c>
      <c r="G81" s="70"/>
      <c r="H81" s="70"/>
      <c r="I81" s="70"/>
      <c r="J81" s="70"/>
      <c r="K81" s="70"/>
      <c r="L81" s="70"/>
      <c r="M81" s="70"/>
    </row>
    <row r="82" spans="1:13" ht="21.95" customHeight="1" thickTop="1" x14ac:dyDescent="0.3">
      <c r="A82" s="71" t="s">
        <v>43</v>
      </c>
      <c r="B82" s="73" t="s">
        <v>14</v>
      </c>
      <c r="C82" s="73" t="s">
        <v>15</v>
      </c>
      <c r="D82" s="73" t="s">
        <v>16</v>
      </c>
      <c r="E82" s="75" t="s">
        <v>17</v>
      </c>
      <c r="F82" s="71" t="s">
        <v>43</v>
      </c>
      <c r="G82" s="77" t="s">
        <v>17</v>
      </c>
      <c r="H82" s="77" t="s">
        <v>29</v>
      </c>
      <c r="I82" s="79" t="s">
        <v>41</v>
      </c>
      <c r="J82" s="81" t="s">
        <v>42</v>
      </c>
      <c r="K82" s="187" t="s">
        <v>10</v>
      </c>
      <c r="L82" s="85" t="s">
        <v>18</v>
      </c>
      <c r="M82" s="87" t="s">
        <v>8</v>
      </c>
    </row>
    <row r="83" spans="1:13" ht="21.95" customHeight="1" x14ac:dyDescent="0.3">
      <c r="A83" s="72"/>
      <c r="B83" s="74"/>
      <c r="C83" s="74"/>
      <c r="D83" s="74"/>
      <c r="E83" s="76"/>
      <c r="F83" s="72"/>
      <c r="G83" s="78"/>
      <c r="H83" s="78"/>
      <c r="I83" s="80"/>
      <c r="J83" s="82"/>
      <c r="K83" s="188"/>
      <c r="L83" s="86"/>
      <c r="M83" s="88"/>
    </row>
    <row r="84" spans="1:13" ht="21.95" customHeight="1" x14ac:dyDescent="0.3">
      <c r="A84" s="189" t="s">
        <v>26</v>
      </c>
      <c r="B84" s="10"/>
      <c r="C84" s="1"/>
      <c r="D84" s="1"/>
      <c r="E84" s="11" t="s">
        <v>27</v>
      </c>
      <c r="F84" s="191" t="str">
        <f>A84</f>
        <v>Spurious</v>
      </c>
      <c r="G84" s="193" t="str">
        <f>IF(COUNT(B84:D84)=0, "H", IF(COUNT(B85:D85)=0, "V", IF(MAX(B84:D84) &gt;= MAX(B85:D85), "V", "H")))</f>
        <v>H</v>
      </c>
      <c r="H84" s="195">
        <f>MAX(B84:D85)</f>
        <v>0</v>
      </c>
      <c r="I84" s="197">
        <v>-47</v>
      </c>
      <c r="J84" s="178" t="str">
        <f>IF(OR(I84-H84&gt;10,I84-H84=-47),"No Peak Found",I84-H84)</f>
        <v>No Peak Found</v>
      </c>
      <c r="K84" s="180" t="s">
        <v>9</v>
      </c>
      <c r="L84" s="91" t="str">
        <f>IF(OR(COUNTIF(B84:D85, "-")+COUNTBLANK(B84:D85)=6), "Pass", IF(H84 &gt; I84, "Fail", IF(J84 &lt; 3, "Margin 부족", "Pass")))</f>
        <v>Pass</v>
      </c>
      <c r="M84" s="182" t="s">
        <v>12</v>
      </c>
    </row>
    <row r="85" spans="1:13" ht="21.95" customHeight="1" thickBot="1" x14ac:dyDescent="0.35">
      <c r="A85" s="190"/>
      <c r="B85" s="2"/>
      <c r="C85" s="2"/>
      <c r="D85" s="2"/>
      <c r="E85" s="12" t="s">
        <v>28</v>
      </c>
      <c r="F85" s="192"/>
      <c r="G85" s="194"/>
      <c r="H85" s="196"/>
      <c r="I85" s="198"/>
      <c r="J85" s="179"/>
      <c r="K85" s="181"/>
      <c r="L85" s="92"/>
      <c r="M85" s="183"/>
    </row>
  </sheetData>
  <mergeCells count="357">
    <mergeCell ref="J49:M50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45:M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M48"/>
    <mergeCell ref="M82:M83"/>
    <mergeCell ref="A84:A85"/>
    <mergeCell ref="F84:F85"/>
    <mergeCell ref="G84:G85"/>
    <mergeCell ref="H84:H85"/>
    <mergeCell ref="I84:I85"/>
    <mergeCell ref="J84:J85"/>
    <mergeCell ref="K84:K85"/>
    <mergeCell ref="L84:L85"/>
    <mergeCell ref="M84:M85"/>
    <mergeCell ref="G82:G83"/>
    <mergeCell ref="H82:H83"/>
    <mergeCell ref="I82:I83"/>
    <mergeCell ref="J82:J83"/>
    <mergeCell ref="K82:K83"/>
    <mergeCell ref="L82:L83"/>
    <mergeCell ref="A82:A83"/>
    <mergeCell ref="B82:B83"/>
    <mergeCell ref="C82:C83"/>
    <mergeCell ref="D82:D83"/>
    <mergeCell ref="E82:E83"/>
    <mergeCell ref="F82:F83"/>
    <mergeCell ref="J79:J80"/>
    <mergeCell ref="K79:K80"/>
    <mergeCell ref="L79:L80"/>
    <mergeCell ref="M79:M80"/>
    <mergeCell ref="A81:E81"/>
    <mergeCell ref="F81:M81"/>
    <mergeCell ref="I77:I78"/>
    <mergeCell ref="J77:J78"/>
    <mergeCell ref="K77:K78"/>
    <mergeCell ref="L77:L78"/>
    <mergeCell ref="M77:M78"/>
    <mergeCell ref="A79:A80"/>
    <mergeCell ref="F79:F80"/>
    <mergeCell ref="G79:G80"/>
    <mergeCell ref="H79:H80"/>
    <mergeCell ref="I79:I80"/>
    <mergeCell ref="A76:E76"/>
    <mergeCell ref="F76:M76"/>
    <mergeCell ref="A77:A78"/>
    <mergeCell ref="B77:B78"/>
    <mergeCell ref="C77:C78"/>
    <mergeCell ref="D77:D78"/>
    <mergeCell ref="E77:E78"/>
    <mergeCell ref="F77:F78"/>
    <mergeCell ref="G77:G78"/>
    <mergeCell ref="H77:H78"/>
    <mergeCell ref="K72:K73"/>
    <mergeCell ref="L72:L73"/>
    <mergeCell ref="M72:M73"/>
    <mergeCell ref="N66:P66"/>
    <mergeCell ref="N67:P67"/>
    <mergeCell ref="A74:E75"/>
    <mergeCell ref="F74:M75"/>
    <mergeCell ref="L70:L71"/>
    <mergeCell ref="M70:M71"/>
    <mergeCell ref="N64:P64"/>
    <mergeCell ref="N65:P65"/>
    <mergeCell ref="A72:A73"/>
    <mergeCell ref="F72:F73"/>
    <mergeCell ref="G72:G73"/>
    <mergeCell ref="H72:H73"/>
    <mergeCell ref="I72:I73"/>
    <mergeCell ref="J72:J73"/>
    <mergeCell ref="K68:K69"/>
    <mergeCell ref="L68:L69"/>
    <mergeCell ref="M68:M69"/>
    <mergeCell ref="A70:A71"/>
    <mergeCell ref="F70:F71"/>
    <mergeCell ref="G70:G71"/>
    <mergeCell ref="H70:H71"/>
    <mergeCell ref="I70:I71"/>
    <mergeCell ref="J70:J71"/>
    <mergeCell ref="K70:K71"/>
    <mergeCell ref="A68:A69"/>
    <mergeCell ref="F68:F69"/>
    <mergeCell ref="G68:G69"/>
    <mergeCell ref="H68:H69"/>
    <mergeCell ref="I68:I69"/>
    <mergeCell ref="J68:J69"/>
    <mergeCell ref="M64:M65"/>
    <mergeCell ref="A66:A67"/>
    <mergeCell ref="F66:F67"/>
    <mergeCell ref="G66:G67"/>
    <mergeCell ref="H66:H67"/>
    <mergeCell ref="I66:I67"/>
    <mergeCell ref="J66:J67"/>
    <mergeCell ref="K66:K67"/>
    <mergeCell ref="L66:L67"/>
    <mergeCell ref="M66:M67"/>
    <mergeCell ref="G64:G65"/>
    <mergeCell ref="H64:H65"/>
    <mergeCell ref="I64:I65"/>
    <mergeCell ref="J64:J65"/>
    <mergeCell ref="K64:K65"/>
    <mergeCell ref="L64:L65"/>
    <mergeCell ref="A64:A65"/>
    <mergeCell ref="B64:B65"/>
    <mergeCell ref="C64:C65"/>
    <mergeCell ref="D64:D65"/>
    <mergeCell ref="E64:E65"/>
    <mergeCell ref="F64:F65"/>
    <mergeCell ref="J61:J62"/>
    <mergeCell ref="K61:K62"/>
    <mergeCell ref="L61:L62"/>
    <mergeCell ref="M61:M62"/>
    <mergeCell ref="A63:E63"/>
    <mergeCell ref="F63:M63"/>
    <mergeCell ref="I59:I60"/>
    <mergeCell ref="J59:J60"/>
    <mergeCell ref="K59:K60"/>
    <mergeCell ref="L59:L60"/>
    <mergeCell ref="M59:M60"/>
    <mergeCell ref="A61:A62"/>
    <mergeCell ref="F61:F62"/>
    <mergeCell ref="G61:G62"/>
    <mergeCell ref="H61:H62"/>
    <mergeCell ref="I61:I62"/>
    <mergeCell ref="A58:E58"/>
    <mergeCell ref="F58:M58"/>
    <mergeCell ref="A59:A60"/>
    <mergeCell ref="B59:B60"/>
    <mergeCell ref="C59:C60"/>
    <mergeCell ref="D59:D60"/>
    <mergeCell ref="E59:E60"/>
    <mergeCell ref="F59:F60"/>
    <mergeCell ref="G59:G60"/>
    <mergeCell ref="H59:H60"/>
    <mergeCell ref="A56:A57"/>
    <mergeCell ref="F56:F57"/>
    <mergeCell ref="G56:G57"/>
    <mergeCell ref="H56:H57"/>
    <mergeCell ref="I56:I57"/>
    <mergeCell ref="J56:J57"/>
    <mergeCell ref="K56:K57"/>
    <mergeCell ref="L56:L57"/>
    <mergeCell ref="M56:M57"/>
    <mergeCell ref="A51:E52"/>
    <mergeCell ref="F51:M52"/>
    <mergeCell ref="A53:E53"/>
    <mergeCell ref="F53:M53"/>
    <mergeCell ref="A54:A55"/>
    <mergeCell ref="B54:B55"/>
    <mergeCell ref="C54:C55"/>
    <mergeCell ref="D54:D55"/>
    <mergeCell ref="E54:E55"/>
    <mergeCell ref="F54:F55"/>
    <mergeCell ref="M54:M55"/>
    <mergeCell ref="G54:G55"/>
    <mergeCell ref="H54:H55"/>
    <mergeCell ref="I54:I55"/>
    <mergeCell ref="J54:J55"/>
    <mergeCell ref="K54:K55"/>
    <mergeCell ref="L54:L55"/>
    <mergeCell ref="M40:M41"/>
    <mergeCell ref="A42:A43"/>
    <mergeCell ref="F42:F43"/>
    <mergeCell ref="G42:G43"/>
    <mergeCell ref="H42:H43"/>
    <mergeCell ref="I42:I43"/>
    <mergeCell ref="J42:J43"/>
    <mergeCell ref="K42:K43"/>
    <mergeCell ref="L42:L43"/>
    <mergeCell ref="M42:M43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J37:J38"/>
    <mergeCell ref="K37:K38"/>
    <mergeCell ref="L37:L38"/>
    <mergeCell ref="M37:M38"/>
    <mergeCell ref="A39:E39"/>
    <mergeCell ref="F39:M39"/>
    <mergeCell ref="I35:I36"/>
    <mergeCell ref="J35:J36"/>
    <mergeCell ref="K35:K36"/>
    <mergeCell ref="L35:L36"/>
    <mergeCell ref="M35:M36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M30:M31"/>
    <mergeCell ref="N30:P30"/>
    <mergeCell ref="N31:P31"/>
    <mergeCell ref="A32:E33"/>
    <mergeCell ref="F32:M33"/>
    <mergeCell ref="L28:L29"/>
    <mergeCell ref="M28:M29"/>
    <mergeCell ref="N28:P28"/>
    <mergeCell ref="N29:P29"/>
    <mergeCell ref="A30:A31"/>
    <mergeCell ref="F30:F31"/>
    <mergeCell ref="G30:G31"/>
    <mergeCell ref="H30:H31"/>
    <mergeCell ref="I30:I31"/>
    <mergeCell ref="J30:J31"/>
    <mergeCell ref="A28:A29"/>
    <mergeCell ref="F28:F29"/>
    <mergeCell ref="G28:G29"/>
    <mergeCell ref="H28:H29"/>
    <mergeCell ref="I28:I29"/>
    <mergeCell ref="J28:J29"/>
    <mergeCell ref="K28:K29"/>
    <mergeCell ref="K30:K31"/>
    <mergeCell ref="L30:L31"/>
    <mergeCell ref="A26:A27"/>
    <mergeCell ref="F26:F27"/>
    <mergeCell ref="G26:G27"/>
    <mergeCell ref="H26:H27"/>
    <mergeCell ref="I26:I27"/>
    <mergeCell ref="J26:J27"/>
    <mergeCell ref="K26:K27"/>
    <mergeCell ref="L26:L27"/>
    <mergeCell ref="M26:M27"/>
    <mergeCell ref="A24:A25"/>
    <mergeCell ref="F24:F25"/>
    <mergeCell ref="G24:G25"/>
    <mergeCell ref="H24:H25"/>
    <mergeCell ref="I24:I25"/>
    <mergeCell ref="J24:J25"/>
    <mergeCell ref="K24:K25"/>
    <mergeCell ref="L24:L25"/>
    <mergeCell ref="M24:M25"/>
    <mergeCell ref="A21:E21"/>
    <mergeCell ref="F21:M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A16:E16"/>
    <mergeCell ref="F16:M16"/>
    <mergeCell ref="A17:A18"/>
    <mergeCell ref="B17:B18"/>
    <mergeCell ref="C17:C18"/>
    <mergeCell ref="D17:D18"/>
    <mergeCell ref="E17:E18"/>
    <mergeCell ref="F17:F18"/>
    <mergeCell ref="A19:A20"/>
    <mergeCell ref="F19:F20"/>
    <mergeCell ref="G19:G20"/>
    <mergeCell ref="H19:H20"/>
    <mergeCell ref="I19:I20"/>
    <mergeCell ref="G17:G18"/>
    <mergeCell ref="H17:H18"/>
    <mergeCell ref="I17:I18"/>
    <mergeCell ref="J17:J18"/>
    <mergeCell ref="J19:J20"/>
    <mergeCell ref="K19:K20"/>
    <mergeCell ref="L19:L20"/>
    <mergeCell ref="M19:M20"/>
    <mergeCell ref="M17:M18"/>
    <mergeCell ref="K17:K18"/>
    <mergeCell ref="L17:L18"/>
    <mergeCell ref="K14:K15"/>
    <mergeCell ref="L14:L15"/>
    <mergeCell ref="M14:M15"/>
    <mergeCell ref="A14:A15"/>
    <mergeCell ref="F14:F15"/>
    <mergeCell ref="G14:G15"/>
    <mergeCell ref="H14:H15"/>
    <mergeCell ref="I14:I15"/>
    <mergeCell ref="J14:J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  <mergeCell ref="G7:G8"/>
    <mergeCell ref="H7:H8"/>
    <mergeCell ref="I7:I8"/>
    <mergeCell ref="J7:M8"/>
  </mergeCells>
  <phoneticPr fontId="1" type="noConversion"/>
  <conditionalFormatting sqref="J14 J19">
    <cfRule type="cellIs" dxfId="680" priority="51" operator="lessThan">
      <formula>10</formula>
    </cfRule>
  </conditionalFormatting>
  <conditionalFormatting sqref="J14">
    <cfRule type="cellIs" dxfId="679" priority="50" operator="equal">
      <formula>-36</formula>
    </cfRule>
  </conditionalFormatting>
  <conditionalFormatting sqref="L14 L19">
    <cfRule type="cellIs" dxfId="678" priority="49" operator="equal">
      <formula>"Fail"</formula>
    </cfRule>
  </conditionalFormatting>
  <conditionalFormatting sqref="J24">
    <cfRule type="cellIs" dxfId="677" priority="47" operator="equal">
      <formula>-30</formula>
    </cfRule>
    <cfRule type="cellIs" dxfId="676" priority="48" operator="lessThan">
      <formula>10</formula>
    </cfRule>
  </conditionalFormatting>
  <conditionalFormatting sqref="L24">
    <cfRule type="cellIs" dxfId="675" priority="46" operator="equal">
      <formula>"Fail"</formula>
    </cfRule>
  </conditionalFormatting>
  <conditionalFormatting sqref="L26">
    <cfRule type="cellIs" dxfId="674" priority="45" operator="equal">
      <formula>"Fail"</formula>
    </cfRule>
  </conditionalFormatting>
  <conditionalFormatting sqref="L28">
    <cfRule type="cellIs" dxfId="673" priority="44" operator="equal">
      <formula>"Fail"</formula>
    </cfRule>
  </conditionalFormatting>
  <conditionalFormatting sqref="L30">
    <cfRule type="cellIs" dxfId="672" priority="43" operator="equal">
      <formula>"Fail"</formula>
    </cfRule>
  </conditionalFormatting>
  <conditionalFormatting sqref="V33">
    <cfRule type="cellIs" dxfId="671" priority="42" operator="equal">
      <formula>"Fail"</formula>
    </cfRule>
  </conditionalFormatting>
  <conditionalFormatting sqref="L14:L15 L19:L20 L24:L31">
    <cfRule type="cellIs" dxfId="670" priority="41" operator="equal">
      <formula>"Pass"</formula>
    </cfRule>
  </conditionalFormatting>
  <conditionalFormatting sqref="L37">
    <cfRule type="cellIs" dxfId="669" priority="40" operator="equal">
      <formula>"Fail"</formula>
    </cfRule>
  </conditionalFormatting>
  <conditionalFormatting sqref="L37:L38">
    <cfRule type="cellIs" dxfId="668" priority="39" operator="equal">
      <formula>"Pass"</formula>
    </cfRule>
  </conditionalFormatting>
  <conditionalFormatting sqref="L42">
    <cfRule type="cellIs" dxfId="667" priority="38" operator="equal">
      <formula>"Fail"</formula>
    </cfRule>
  </conditionalFormatting>
  <conditionalFormatting sqref="L42:L43">
    <cfRule type="cellIs" dxfId="666" priority="37" operator="equal">
      <formula>"Pass"</formula>
    </cfRule>
  </conditionalFormatting>
  <conditionalFormatting sqref="B14:D15">
    <cfRule type="top10" dxfId="665" priority="30" rank="1"/>
  </conditionalFormatting>
  <conditionalFormatting sqref="B19:D20">
    <cfRule type="top10" dxfId="664" priority="29" rank="1"/>
  </conditionalFormatting>
  <conditionalFormatting sqref="B24:D25">
    <cfRule type="top10" dxfId="663" priority="28" rank="1"/>
  </conditionalFormatting>
  <conditionalFormatting sqref="B26:D27">
    <cfRule type="top10" dxfId="662" priority="27" rank="1"/>
  </conditionalFormatting>
  <conditionalFormatting sqref="B28:D29">
    <cfRule type="top10" dxfId="661" priority="26" rank="1"/>
  </conditionalFormatting>
  <conditionalFormatting sqref="B30:D31">
    <cfRule type="top10" dxfId="660" priority="25" rank="1"/>
  </conditionalFormatting>
  <conditionalFormatting sqref="J26 J28 J30">
    <cfRule type="cellIs" dxfId="659" priority="23" operator="equal">
      <formula>-30</formula>
    </cfRule>
    <cfRule type="cellIs" dxfId="658" priority="24" operator="lessThan">
      <formula>10</formula>
    </cfRule>
  </conditionalFormatting>
  <conditionalFormatting sqref="J56 J61">
    <cfRule type="cellIs" dxfId="657" priority="22" operator="lessThan">
      <formula>10</formula>
    </cfRule>
  </conditionalFormatting>
  <conditionalFormatting sqref="J56">
    <cfRule type="cellIs" dxfId="656" priority="21" operator="equal">
      <formula>-36</formula>
    </cfRule>
  </conditionalFormatting>
  <conditionalFormatting sqref="L56 L61">
    <cfRule type="cellIs" dxfId="655" priority="20" operator="equal">
      <formula>"Fail"</formula>
    </cfRule>
  </conditionalFormatting>
  <conditionalFormatting sqref="J66">
    <cfRule type="cellIs" dxfId="654" priority="18" operator="equal">
      <formula>-30</formula>
    </cfRule>
    <cfRule type="cellIs" dxfId="653" priority="19" operator="lessThan">
      <formula>10</formula>
    </cfRule>
  </conditionalFormatting>
  <conditionalFormatting sqref="L66">
    <cfRule type="cellIs" dxfId="652" priority="17" operator="equal">
      <formula>"Fail"</formula>
    </cfRule>
  </conditionalFormatting>
  <conditionalFormatting sqref="L68">
    <cfRule type="cellIs" dxfId="651" priority="16" operator="equal">
      <formula>"Fail"</formula>
    </cfRule>
  </conditionalFormatting>
  <conditionalFormatting sqref="L70">
    <cfRule type="cellIs" dxfId="650" priority="15" operator="equal">
      <formula>"Fail"</formula>
    </cfRule>
  </conditionalFormatting>
  <conditionalFormatting sqref="L72">
    <cfRule type="cellIs" dxfId="649" priority="14" operator="equal">
      <formula>"Fail"</formula>
    </cfRule>
  </conditionalFormatting>
  <conditionalFormatting sqref="L56:L57 L61:L62 L66:L73">
    <cfRule type="cellIs" dxfId="648" priority="13" operator="equal">
      <formula>"Pass"</formula>
    </cfRule>
  </conditionalFormatting>
  <conditionalFormatting sqref="L79">
    <cfRule type="cellIs" dxfId="647" priority="12" operator="equal">
      <formula>"Fail"</formula>
    </cfRule>
  </conditionalFormatting>
  <conditionalFormatting sqref="L79:L80">
    <cfRule type="cellIs" dxfId="646" priority="11" operator="equal">
      <formula>"Pass"</formula>
    </cfRule>
  </conditionalFormatting>
  <conditionalFormatting sqref="L84">
    <cfRule type="cellIs" dxfId="645" priority="10" operator="equal">
      <formula>"Fail"</formula>
    </cfRule>
  </conditionalFormatting>
  <conditionalFormatting sqref="L84:L85">
    <cfRule type="cellIs" dxfId="644" priority="9" operator="equal">
      <formula>"Pass"</formula>
    </cfRule>
  </conditionalFormatting>
  <conditionalFormatting sqref="B56:D57">
    <cfRule type="top10" dxfId="643" priority="8" rank="1"/>
  </conditionalFormatting>
  <conditionalFormatting sqref="B61:D62">
    <cfRule type="top10" dxfId="642" priority="7" rank="1"/>
  </conditionalFormatting>
  <conditionalFormatting sqref="B66:D73">
    <cfRule type="top10" dxfId="641" priority="6" rank="1"/>
  </conditionalFormatting>
  <conditionalFormatting sqref="B68:D69">
    <cfRule type="top10" dxfId="640" priority="5" rank="1"/>
  </conditionalFormatting>
  <conditionalFormatting sqref="B70:D71">
    <cfRule type="top10" dxfId="639" priority="4" rank="1"/>
  </conditionalFormatting>
  <conditionalFormatting sqref="B72:D73">
    <cfRule type="top10" dxfId="638" priority="3" rank="1"/>
  </conditionalFormatting>
  <conditionalFormatting sqref="J68 J70 J72">
    <cfRule type="cellIs" dxfId="637" priority="1" operator="equal">
      <formula>-30</formula>
    </cfRule>
    <cfRule type="cellIs" dxfId="636" priority="2" operator="lessThan">
      <formula>10</formula>
    </cfRule>
  </conditionalFormatting>
  <dataValidations count="1">
    <dataValidation type="list" allowBlank="1" showInputMessage="1" showErrorMessage="1" sqref="M14 M19 M30 M24 M26 M28 M37:M38 M56 M61 M72 M66 M68 M70 M84:M85 M79:M80 M42:M43" xr:uid="{346791B6-66B1-4317-8617-4C4BB7D1FF84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8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7A17-F7FE-49EC-B2D5-288776C61377}">
  <dimension ref="A1:P85"/>
  <sheetViews>
    <sheetView view="pageBreakPreview" zoomScale="85" zoomScaleNormal="100" zoomScaleSheetLayoutView="85" workbookViewId="0">
      <selection activeCell="F51" sqref="F51:M52"/>
    </sheetView>
  </sheetViews>
  <sheetFormatPr defaultRowHeight="16.5" outlineLevelCol="1" x14ac:dyDescent="0.3"/>
  <cols>
    <col min="1" max="11" width="12.625" style="6" customWidth="1"/>
    <col min="12" max="13" width="12.625" style="6" hidden="1" customWidth="1" outlineLevel="1"/>
    <col min="14" max="14" width="12.625" style="6" customWidth="1" collapsed="1"/>
    <col min="15" max="16" width="12.625" style="6" customWidth="1"/>
    <col min="17" max="22" width="12.625" customWidth="1"/>
  </cols>
  <sheetData>
    <row r="1" spans="1:13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3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46</v>
      </c>
      <c r="H2" s="28"/>
      <c r="I2" s="28"/>
      <c r="J2" s="28"/>
      <c r="K2" s="28"/>
      <c r="L2" s="28"/>
      <c r="M2" s="29"/>
    </row>
    <row r="3" spans="1:13" ht="24.95" customHeight="1" x14ac:dyDescent="0.3">
      <c r="A3" s="30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3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3" ht="20.100000000000001" customHeight="1" x14ac:dyDescent="0.3">
      <c r="A7" s="62" t="s">
        <v>70</v>
      </c>
      <c r="B7" s="36"/>
      <c r="C7" s="64"/>
      <c r="D7" s="36"/>
      <c r="E7" s="36"/>
      <c r="F7" s="36"/>
      <c r="G7" s="36"/>
      <c r="H7" s="37">
        <v>15</v>
      </c>
      <c r="I7" s="37"/>
      <c r="J7" s="39"/>
      <c r="K7" s="40"/>
      <c r="L7" s="40"/>
      <c r="M7" s="41"/>
    </row>
    <row r="8" spans="1:13" ht="20.100000000000001" customHeight="1" thickBot="1" x14ac:dyDescent="0.35">
      <c r="A8" s="63"/>
      <c r="B8" s="37"/>
      <c r="C8" s="65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3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3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</row>
    <row r="11" spans="1:13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3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85" t="s">
        <v>18</v>
      </c>
      <c r="M12" s="87" t="s">
        <v>8</v>
      </c>
    </row>
    <row r="13" spans="1:13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86"/>
      <c r="M13" s="88"/>
    </row>
    <row r="14" spans="1:13" ht="21.95" customHeight="1" x14ac:dyDescent="0.3">
      <c r="A14" s="95" t="s">
        <v>26</v>
      </c>
      <c r="B14" s="3"/>
      <c r="C14" s="3"/>
      <c r="D14" s="3"/>
      <c r="E14" s="11" t="s">
        <v>27</v>
      </c>
      <c r="F14" s="97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91" t="str">
        <f>IF(OR(COUNTIF(B14:D15, "-")+COUNTBLANK(B14:D15)=6), "Pass", IF(H14 &gt; I14, "Fail", IF(J14 &lt; 3, "Margin 부족", "Pass")))</f>
        <v>Pass</v>
      </c>
      <c r="M14" s="93" t="s">
        <v>12</v>
      </c>
    </row>
    <row r="15" spans="1:13" ht="21.95" customHeight="1" thickBot="1" x14ac:dyDescent="0.35">
      <c r="A15" s="96"/>
      <c r="B15" s="7"/>
      <c r="C15" s="7"/>
      <c r="D15" s="7"/>
      <c r="E15" s="12" t="s">
        <v>28</v>
      </c>
      <c r="F15" s="98"/>
      <c r="G15" s="100"/>
      <c r="H15" s="102"/>
      <c r="I15" s="104"/>
      <c r="J15" s="106"/>
      <c r="K15" s="90"/>
      <c r="L15" s="92"/>
      <c r="M15" s="94"/>
    </row>
    <row r="16" spans="1:13" ht="21.95" customHeight="1" thickBot="1" x14ac:dyDescent="0.35">
      <c r="A16" s="107" t="s">
        <v>30</v>
      </c>
      <c r="B16" s="108"/>
      <c r="C16" s="108"/>
      <c r="D16" s="108"/>
      <c r="E16" s="109"/>
      <c r="F16" s="108" t="s">
        <v>30</v>
      </c>
      <c r="G16" s="108"/>
      <c r="H16" s="108"/>
      <c r="I16" s="108"/>
      <c r="J16" s="70"/>
      <c r="K16" s="108"/>
      <c r="L16" s="108"/>
      <c r="M16" s="108"/>
    </row>
    <row r="17" spans="1:16" ht="21.95" customHeight="1" thickTop="1" x14ac:dyDescent="0.3">
      <c r="A17" s="71" t="s">
        <v>43</v>
      </c>
      <c r="B17" s="73" t="s">
        <v>14</v>
      </c>
      <c r="C17" s="73" t="s">
        <v>15</v>
      </c>
      <c r="D17" s="73" t="s">
        <v>16</v>
      </c>
      <c r="E17" s="75" t="s">
        <v>17</v>
      </c>
      <c r="F17" s="71" t="s">
        <v>43</v>
      </c>
      <c r="G17" s="77" t="s">
        <v>17</v>
      </c>
      <c r="H17" s="77" t="s">
        <v>29</v>
      </c>
      <c r="I17" s="79" t="s">
        <v>41</v>
      </c>
      <c r="J17" s="81" t="s">
        <v>42</v>
      </c>
      <c r="K17" s="83" t="s">
        <v>10</v>
      </c>
      <c r="L17" s="85" t="s">
        <v>18</v>
      </c>
      <c r="M17" s="87" t="s">
        <v>8</v>
      </c>
    </row>
    <row r="18" spans="1:16" ht="21.95" customHeight="1" x14ac:dyDescent="0.3">
      <c r="A18" s="72"/>
      <c r="B18" s="74"/>
      <c r="C18" s="74"/>
      <c r="D18" s="74"/>
      <c r="E18" s="76"/>
      <c r="F18" s="72"/>
      <c r="G18" s="78"/>
      <c r="H18" s="78"/>
      <c r="I18" s="80"/>
      <c r="J18" s="82"/>
      <c r="K18" s="84"/>
      <c r="L18" s="86"/>
      <c r="M18" s="88"/>
    </row>
    <row r="19" spans="1:16" ht="21.95" customHeight="1" x14ac:dyDescent="0.3">
      <c r="A19" s="110" t="s">
        <v>26</v>
      </c>
      <c r="B19" s="3"/>
      <c r="C19" s="3"/>
      <c r="D19" s="3"/>
      <c r="E19" s="11" t="s">
        <v>27</v>
      </c>
      <c r="F19" s="112" t="str">
        <f>$A$19</f>
        <v>Spurious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05" t="str">
        <f>IF(OR(I19-H19&gt;10,I19-H19=-30),"No Peak Found",I19-H19)</f>
        <v>No Peak Found</v>
      </c>
      <c r="K19" s="89" t="s">
        <v>9</v>
      </c>
      <c r="L19" s="91" t="str">
        <f>IF(OR(COUNTIF(B19:D20, "-")+COUNTBLANK(B19:D20)=6), "Pass", IF(H19 &gt; I19, "Fail", IF(J19 &lt; 3, "Margin 부족", "Pass")))</f>
        <v>Pass</v>
      </c>
      <c r="M19" s="93" t="s">
        <v>12</v>
      </c>
    </row>
    <row r="20" spans="1:16" ht="21.95" customHeight="1" thickBot="1" x14ac:dyDescent="0.35">
      <c r="A20" s="111"/>
      <c r="B20" s="7"/>
      <c r="C20" s="7"/>
      <c r="D20" s="7"/>
      <c r="E20" s="12" t="s">
        <v>28</v>
      </c>
      <c r="F20" s="113"/>
      <c r="G20" s="114"/>
      <c r="H20" s="115"/>
      <c r="I20" s="116"/>
      <c r="J20" s="106"/>
      <c r="K20" s="117"/>
      <c r="L20" s="118"/>
      <c r="M20" s="119"/>
    </row>
    <row r="21" spans="1:16" ht="21.95" customHeight="1" thickBot="1" x14ac:dyDescent="0.35">
      <c r="A21" s="120" t="s">
        <v>31</v>
      </c>
      <c r="B21" s="121"/>
      <c r="C21" s="121"/>
      <c r="D21" s="121"/>
      <c r="E21" s="121"/>
      <c r="F21" s="122" t="s">
        <v>31</v>
      </c>
      <c r="G21" s="123"/>
      <c r="H21" s="123"/>
      <c r="I21" s="123"/>
      <c r="J21" s="70"/>
      <c r="K21" s="123"/>
      <c r="L21" s="124"/>
      <c r="M21" s="125"/>
    </row>
    <row r="22" spans="1:16" ht="21.95" customHeight="1" thickTop="1" x14ac:dyDescent="0.3">
      <c r="A22" s="126" t="s">
        <v>43</v>
      </c>
      <c r="B22" s="128" t="s">
        <v>14</v>
      </c>
      <c r="C22" s="128" t="s">
        <v>15</v>
      </c>
      <c r="D22" s="128" t="s">
        <v>16</v>
      </c>
      <c r="E22" s="130" t="s">
        <v>17</v>
      </c>
      <c r="F22" s="126" t="s">
        <v>43</v>
      </c>
      <c r="G22" s="132" t="s">
        <v>17</v>
      </c>
      <c r="H22" s="132" t="s">
        <v>29</v>
      </c>
      <c r="I22" s="133" t="s">
        <v>41</v>
      </c>
      <c r="J22" s="81" t="s">
        <v>42</v>
      </c>
      <c r="K22" s="134" t="s">
        <v>10</v>
      </c>
      <c r="L22" s="136" t="s">
        <v>18</v>
      </c>
      <c r="M22" s="138" t="s">
        <v>8</v>
      </c>
    </row>
    <row r="23" spans="1:16" ht="21.75" customHeight="1" x14ac:dyDescent="0.3">
      <c r="A23" s="127"/>
      <c r="B23" s="129"/>
      <c r="C23" s="129"/>
      <c r="D23" s="129"/>
      <c r="E23" s="131"/>
      <c r="F23" s="127"/>
      <c r="G23" s="78"/>
      <c r="H23" s="78"/>
      <c r="I23" s="80"/>
      <c r="J23" s="82"/>
      <c r="K23" s="135"/>
      <c r="L23" s="137"/>
      <c r="M23" s="139"/>
    </row>
    <row r="24" spans="1:16" ht="21.95" customHeight="1" x14ac:dyDescent="0.3">
      <c r="A24" s="140">
        <f>J7*2</f>
        <v>0</v>
      </c>
      <c r="B24" s="4"/>
      <c r="C24" s="4"/>
      <c r="D24" s="4"/>
      <c r="E24" s="13" t="s">
        <v>1</v>
      </c>
      <c r="F24" s="142">
        <f>$A$24</f>
        <v>0</v>
      </c>
      <c r="G24" s="99" t="str">
        <f>IF(COUNT(B24:D24)=0, "H", IF(COUNT(B25:D25)=0, "V", IF(MAX(B24:D24) &gt;= MAX(B25:D25), "V", "H")))</f>
        <v>H</v>
      </c>
      <c r="H24" s="101">
        <f>MAX(B24:D25)</f>
        <v>0</v>
      </c>
      <c r="I24" s="103">
        <v>-30</v>
      </c>
      <c r="J24" s="143" t="str">
        <f>IF(OR(I24-H24&gt;10,I24-H24=-30),"No Peak Found",I24-H24)</f>
        <v>No Peak Found</v>
      </c>
      <c r="K24" s="144" t="s">
        <v>9</v>
      </c>
      <c r="L24" s="117" t="str">
        <f>IF(OR(COUNTIF(B24:D25, "-")+COUNTBLANK(B24:D25)=6), "Pass", IF(H24 &gt; I24, "Fail", IF(J24 &lt; 3, "Margin 부족", "Pass")))</f>
        <v>Pass</v>
      </c>
      <c r="M24" s="146" t="s">
        <v>11</v>
      </c>
    </row>
    <row r="25" spans="1:16" ht="21.95" customHeight="1" x14ac:dyDescent="0.3">
      <c r="A25" s="141"/>
      <c r="B25" s="4"/>
      <c r="C25" s="4"/>
      <c r="D25" s="4"/>
      <c r="E25" s="13" t="s">
        <v>0</v>
      </c>
      <c r="F25" s="142"/>
      <c r="G25" s="99"/>
      <c r="H25" s="101"/>
      <c r="I25" s="103"/>
      <c r="J25" s="143"/>
      <c r="K25" s="144"/>
      <c r="L25" s="145"/>
      <c r="M25" s="147"/>
    </row>
    <row r="26" spans="1:16" ht="21.95" customHeight="1" x14ac:dyDescent="0.3">
      <c r="A26" s="140">
        <f>J7*3</f>
        <v>0</v>
      </c>
      <c r="B26" s="4"/>
      <c r="C26" s="4"/>
      <c r="D26" s="4"/>
      <c r="E26" s="13" t="s">
        <v>1</v>
      </c>
      <c r="F26" s="148">
        <f>$A$26</f>
        <v>0</v>
      </c>
      <c r="G26" s="99" t="str">
        <f>IF(COUNT(B26:D26)=0, "H", IF(COUNT(B27:D27)=0, "V", IF(MAX(B26:D26) &gt;= MAX(B27:D27), "V", "H")))</f>
        <v>H</v>
      </c>
      <c r="H26" s="101">
        <f>MAX(B26:D27)</f>
        <v>0</v>
      </c>
      <c r="I26" s="149">
        <v>-30</v>
      </c>
      <c r="J26" s="143" t="str">
        <f t="shared" ref="J26" si="0">IF(OR(I26-H26&gt;10,I26-H26=-30),"No Peak Found",I26-H26)</f>
        <v>No Peak Found</v>
      </c>
      <c r="K26" s="150" t="s">
        <v>9</v>
      </c>
      <c r="L26" s="117" t="str">
        <f>IF(OR(COUNTIF(B26:D27, "-")+COUNTBLANK(B26:D27)=6), "Pass", IF(H26 &gt; I26, "Fail", IF(J26 &lt; 3, "Margin 부족", "Pass")))</f>
        <v>Pass</v>
      </c>
      <c r="M26" s="146" t="s">
        <v>11</v>
      </c>
    </row>
    <row r="27" spans="1:16" ht="21.95" customHeight="1" x14ac:dyDescent="0.3">
      <c r="A27" s="141"/>
      <c r="B27" s="4"/>
      <c r="C27" s="4"/>
      <c r="D27" s="4"/>
      <c r="E27" s="13" t="s">
        <v>0</v>
      </c>
      <c r="F27" s="148"/>
      <c r="G27" s="99"/>
      <c r="H27" s="101"/>
      <c r="I27" s="149"/>
      <c r="J27" s="143"/>
      <c r="K27" s="150"/>
      <c r="L27" s="145"/>
      <c r="M27" s="147"/>
      <c r="N27" s="8" t="s">
        <v>8</v>
      </c>
    </row>
    <row r="28" spans="1:16" ht="21.95" customHeight="1" x14ac:dyDescent="0.3">
      <c r="A28" s="140">
        <f>J7*4</f>
        <v>0</v>
      </c>
      <c r="B28" s="4"/>
      <c r="C28" s="4"/>
      <c r="D28" s="4"/>
      <c r="E28" s="13" t="s">
        <v>1</v>
      </c>
      <c r="F28" s="142">
        <f>$A$28</f>
        <v>0</v>
      </c>
      <c r="G28" s="99" t="str">
        <f>IF(COUNT(B28:D28)=0, "H", IF(COUNT(B29:D29)=0, "V", IF(MAX(B28:D28) &gt;= MAX(B29:D29), "V", "H")))</f>
        <v>H</v>
      </c>
      <c r="H28" s="101">
        <f>MAX(B28:D29)</f>
        <v>0</v>
      </c>
      <c r="I28" s="149">
        <v>-30</v>
      </c>
      <c r="J28" s="143" t="str">
        <f t="shared" ref="J28" si="1">IF(OR(I28-H28&gt;10,I28-H28=-30),"No Peak Found",I28-H28)</f>
        <v>No Peak Found</v>
      </c>
      <c r="K28" s="171" t="s">
        <v>9</v>
      </c>
      <c r="L28" s="117" t="str">
        <f>IF(OR(COUNTIF(B28:D29, "-")+COUNTBLANK(B28:D29)=6), "Pass", IF(H28 &gt; I28, "Fail", IF(J28 &lt; 3, "Margin 부족", "Pass")))</f>
        <v>Pass</v>
      </c>
      <c r="M28" s="146" t="s">
        <v>11</v>
      </c>
      <c r="N28" s="163" t="str">
        <f>"1. Sub6 NR Band : " &amp; VALUE(RIGHT(A7, LEN(A7)-1))</f>
        <v>1. Sub6 NR Band : 3</v>
      </c>
      <c r="O28" s="164"/>
      <c r="P28" s="164"/>
    </row>
    <row r="29" spans="1:16" ht="21.95" customHeight="1" x14ac:dyDescent="0.3">
      <c r="A29" s="141"/>
      <c r="B29" s="4"/>
      <c r="C29" s="4"/>
      <c r="D29" s="4"/>
      <c r="E29" s="13" t="s">
        <v>0</v>
      </c>
      <c r="F29" s="142"/>
      <c r="G29" s="99"/>
      <c r="H29" s="101"/>
      <c r="I29" s="149"/>
      <c r="J29" s="143"/>
      <c r="K29" s="171"/>
      <c r="L29" s="145"/>
      <c r="M29" s="147"/>
      <c r="N29" s="152" t="str">
        <f>"2. SCS : " &amp; H7 &amp; " kHz"</f>
        <v>2. SCS : 15 kHz</v>
      </c>
      <c r="O29" s="153"/>
      <c r="P29" s="153"/>
    </row>
    <row r="30" spans="1:16" ht="21.95" customHeight="1" x14ac:dyDescent="0.3">
      <c r="A30" s="140">
        <f>J7*5</f>
        <v>0</v>
      </c>
      <c r="B30" s="4"/>
      <c r="C30" s="4"/>
      <c r="D30" s="4"/>
      <c r="E30" s="13" t="s">
        <v>1</v>
      </c>
      <c r="F30" s="148">
        <f>$A$30</f>
        <v>0</v>
      </c>
      <c r="G30" s="99" t="str">
        <f>IF(COUNT(B30:D30)=0, "H", IF(COUNT(B31:D31)=0, "V", IF(MAX(B30:D30) &gt;= MAX(B31:D31), "V", "H")))</f>
        <v>H</v>
      </c>
      <c r="H30" s="101">
        <f>MAX(B30:D31)</f>
        <v>0</v>
      </c>
      <c r="I30" s="149">
        <v>-30</v>
      </c>
      <c r="J30" s="143" t="str">
        <f t="shared" ref="J30" si="2">IF(OR(I30-H30&gt;10,I30-H30=-30),"No Peak Found",I30-H30)</f>
        <v>No Peak Found</v>
      </c>
      <c r="K30" s="171" t="s">
        <v>9</v>
      </c>
      <c r="L30" s="117" t="str">
        <f>IF(OR(COUNTIF(B30:D31, "-")+COUNTBLANK(B30:D31)=6), "Pass", IF(H30 &gt; I30, "Fail", IF(J30 &lt; 3, "Margin 부족", "Pass")))</f>
        <v>Pass</v>
      </c>
      <c r="M30" s="146" t="s">
        <v>11</v>
      </c>
      <c r="N30" s="152" t="str">
        <f>"3. The test was performed the " &amp; I7 &amp; " antenna."</f>
        <v>3. The test was performed the  antenna.</v>
      </c>
      <c r="O30" s="153"/>
      <c r="P30" s="153"/>
    </row>
    <row r="31" spans="1:16" ht="21.95" customHeight="1" thickBot="1" x14ac:dyDescent="0.35">
      <c r="A31" s="165"/>
      <c r="B31" s="9"/>
      <c r="C31" s="9"/>
      <c r="D31" s="9"/>
      <c r="E31" s="14" t="s">
        <v>28</v>
      </c>
      <c r="F31" s="166"/>
      <c r="G31" s="167"/>
      <c r="H31" s="168"/>
      <c r="I31" s="169"/>
      <c r="J31" s="170"/>
      <c r="K31" s="172"/>
      <c r="L31" s="173"/>
      <c r="M31" s="151"/>
      <c r="N31" s="152" t="str">
        <f>"4. " &amp; LEFT(A9, FIND(" ", A9 &amp; " ") - 1) &amp; " Mode Test."</f>
        <v>4. NSA Mode Test.</v>
      </c>
      <c r="O31" s="154"/>
      <c r="P31" s="154"/>
    </row>
    <row r="32" spans="1:16" ht="24.95" customHeight="1" x14ac:dyDescent="0.3">
      <c r="A32" s="155" t="s">
        <v>32</v>
      </c>
      <c r="B32" s="156"/>
      <c r="C32" s="156"/>
      <c r="D32" s="156"/>
      <c r="E32" s="157"/>
      <c r="F32" s="159" t="s">
        <v>49</v>
      </c>
      <c r="G32" s="159"/>
      <c r="H32" s="159"/>
      <c r="I32" s="159"/>
      <c r="J32" s="159"/>
      <c r="K32" s="159"/>
      <c r="L32" s="159"/>
      <c r="M32" s="160"/>
    </row>
    <row r="33" spans="1:13" ht="24.95" customHeight="1" x14ac:dyDescent="0.3">
      <c r="A33" s="158"/>
      <c r="B33" s="156"/>
      <c r="C33" s="156"/>
      <c r="D33" s="156"/>
      <c r="E33" s="157"/>
      <c r="F33" s="161"/>
      <c r="G33" s="161"/>
      <c r="H33" s="161"/>
      <c r="I33" s="161"/>
      <c r="J33" s="161"/>
      <c r="K33" s="161"/>
      <c r="L33" s="161"/>
      <c r="M33" s="162"/>
    </row>
    <row r="34" spans="1:13" ht="21.95" customHeight="1" thickBot="1" x14ac:dyDescent="0.35">
      <c r="A34" s="174" t="s">
        <v>6</v>
      </c>
      <c r="B34" s="175"/>
      <c r="C34" s="175"/>
      <c r="D34" s="175"/>
      <c r="E34" s="176"/>
      <c r="F34" s="177" t="s">
        <v>6</v>
      </c>
      <c r="G34" s="177"/>
      <c r="H34" s="177"/>
      <c r="I34" s="177"/>
      <c r="J34" s="177"/>
      <c r="K34" s="177"/>
      <c r="L34" s="177"/>
      <c r="M34" s="177"/>
    </row>
    <row r="35" spans="1:13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85" t="s">
        <v>18</v>
      </c>
      <c r="M35" s="87" t="s">
        <v>8</v>
      </c>
    </row>
    <row r="36" spans="1:13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86"/>
      <c r="M36" s="88"/>
    </row>
    <row r="37" spans="1:13" ht="21.95" customHeight="1" x14ac:dyDescent="0.3">
      <c r="A37" s="189" t="s">
        <v>26</v>
      </c>
      <c r="B37" s="10"/>
      <c r="C37" s="1"/>
      <c r="D37" s="1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-57</v>
      </c>
      <c r="J37" s="178" t="str">
        <f>IF(OR(I37-H37&gt;10,I37-H37=-57),"No Peak Found",I37-H37)</f>
        <v>No Peak Found</v>
      </c>
      <c r="K37" s="180" t="s">
        <v>9</v>
      </c>
      <c r="L37" s="91" t="str">
        <f>IF(OR(COUNTIF(B37:D38, "-")+COUNTBLANK(B37:D38)=6), "Pass", IF(H37 &gt; I37, "Fail", IF(J37 &lt; 3, "Margin 부족", "Pass")))</f>
        <v>Pass</v>
      </c>
      <c r="M37" s="182" t="s">
        <v>12</v>
      </c>
    </row>
    <row r="38" spans="1:13" ht="21.95" customHeight="1" thickBot="1" x14ac:dyDescent="0.35">
      <c r="A38" s="190"/>
      <c r="B38" s="2"/>
      <c r="C38" s="2"/>
      <c r="D38" s="2"/>
      <c r="E38" s="12" t="s">
        <v>28</v>
      </c>
      <c r="F38" s="192"/>
      <c r="G38" s="194"/>
      <c r="H38" s="196"/>
      <c r="I38" s="198"/>
      <c r="J38" s="179"/>
      <c r="K38" s="181"/>
      <c r="L38" s="92"/>
      <c r="M38" s="183"/>
    </row>
    <row r="39" spans="1:13" ht="21.95" customHeight="1" thickBot="1" x14ac:dyDescent="0.35">
      <c r="A39" s="184" t="s">
        <v>33</v>
      </c>
      <c r="B39" s="185"/>
      <c r="C39" s="185"/>
      <c r="D39" s="185"/>
      <c r="E39" s="186"/>
      <c r="F39" s="70" t="s">
        <v>33</v>
      </c>
      <c r="G39" s="70"/>
      <c r="H39" s="70"/>
      <c r="I39" s="70"/>
      <c r="J39" s="70"/>
      <c r="K39" s="70"/>
      <c r="L39" s="70"/>
      <c r="M39" s="70"/>
    </row>
    <row r="40" spans="1:13" ht="21.95" customHeight="1" thickTop="1" x14ac:dyDescent="0.3">
      <c r="A40" s="71" t="s">
        <v>43</v>
      </c>
      <c r="B40" s="73" t="s">
        <v>14</v>
      </c>
      <c r="C40" s="73" t="s">
        <v>15</v>
      </c>
      <c r="D40" s="73" t="s">
        <v>16</v>
      </c>
      <c r="E40" s="75" t="s">
        <v>17</v>
      </c>
      <c r="F40" s="71" t="s">
        <v>43</v>
      </c>
      <c r="G40" s="77" t="s">
        <v>17</v>
      </c>
      <c r="H40" s="77" t="s">
        <v>29</v>
      </c>
      <c r="I40" s="79" t="s">
        <v>41</v>
      </c>
      <c r="J40" s="81" t="s">
        <v>42</v>
      </c>
      <c r="K40" s="187" t="s">
        <v>10</v>
      </c>
      <c r="L40" s="85" t="s">
        <v>18</v>
      </c>
      <c r="M40" s="87" t="s">
        <v>8</v>
      </c>
    </row>
    <row r="41" spans="1:13" ht="21.95" customHeight="1" x14ac:dyDescent="0.3">
      <c r="A41" s="72"/>
      <c r="B41" s="74"/>
      <c r="C41" s="74"/>
      <c r="D41" s="74"/>
      <c r="E41" s="76"/>
      <c r="F41" s="72"/>
      <c r="G41" s="78"/>
      <c r="H41" s="78"/>
      <c r="I41" s="80"/>
      <c r="J41" s="82"/>
      <c r="K41" s="188"/>
      <c r="L41" s="86"/>
      <c r="M41" s="88"/>
    </row>
    <row r="42" spans="1:13" ht="21.95" customHeight="1" x14ac:dyDescent="0.3">
      <c r="A42" s="189" t="s">
        <v>26</v>
      </c>
      <c r="B42" s="10"/>
      <c r="C42" s="1"/>
      <c r="D42" s="1"/>
      <c r="E42" s="11" t="s">
        <v>27</v>
      </c>
      <c r="F42" s="191" t="str">
        <f>A42</f>
        <v>Spurious</v>
      </c>
      <c r="G42" s="193" t="str">
        <f>IF(COUNT(B42:D42)=0, "H", IF(COUNT(B43:D43)=0, "V", IF(MAX(B42:D42) &gt;= MAX(B43:D43), "V", "H")))</f>
        <v>H</v>
      </c>
      <c r="H42" s="195">
        <f>MAX(B42:D43)</f>
        <v>0</v>
      </c>
      <c r="I42" s="197">
        <v>-47</v>
      </c>
      <c r="J42" s="178" t="str">
        <f>IF(OR(I42-H42&gt;10,I42-H42=-47),"No Peak Found",I42-H42)</f>
        <v>No Peak Found</v>
      </c>
      <c r="K42" s="180" t="s">
        <v>9</v>
      </c>
      <c r="L42" s="91" t="str">
        <f>IF(OR(COUNTIF(B42:D43, "-")+COUNTBLANK(B42:D43)=6), "Pass", IF(H42 &gt; I42, "Fail", IF(J42 &lt; 3, "Margin 부족", "Pass")))</f>
        <v>Pass</v>
      </c>
      <c r="M42" s="182" t="s">
        <v>12</v>
      </c>
    </row>
    <row r="43" spans="1:13" ht="21.95" customHeight="1" thickBot="1" x14ac:dyDescent="0.35">
      <c r="A43" s="190"/>
      <c r="B43" s="2"/>
      <c r="C43" s="2"/>
      <c r="D43" s="2"/>
      <c r="E43" s="12" t="s">
        <v>28</v>
      </c>
      <c r="F43" s="192"/>
      <c r="G43" s="194"/>
      <c r="H43" s="196"/>
      <c r="I43" s="198"/>
      <c r="J43" s="179"/>
      <c r="K43" s="181"/>
      <c r="L43" s="92"/>
      <c r="M43" s="183"/>
    </row>
    <row r="44" spans="1:13" ht="21.95" customHeight="1" thickBot="1" x14ac:dyDescent="0.35"/>
    <row r="45" spans="1:13" ht="21.95" customHeight="1" x14ac:dyDescent="0.3">
      <c r="A45" s="30" t="s">
        <v>67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2"/>
    </row>
    <row r="46" spans="1:13" ht="21.95" customHeight="1" thickBot="1" x14ac:dyDescent="0.35">
      <c r="A46" s="231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4"/>
    </row>
    <row r="47" spans="1:13" ht="21.95" customHeight="1" x14ac:dyDescent="0.3">
      <c r="A47" s="235" t="s">
        <v>19</v>
      </c>
      <c r="B47" s="254" t="s">
        <v>68</v>
      </c>
      <c r="C47" s="236" t="s">
        <v>22</v>
      </c>
      <c r="D47" s="237" t="s">
        <v>23</v>
      </c>
      <c r="E47" s="237" t="s">
        <v>20</v>
      </c>
      <c r="F47" s="237" t="s">
        <v>21</v>
      </c>
      <c r="G47" s="237" t="s">
        <v>24</v>
      </c>
      <c r="H47" s="238" t="s">
        <v>39</v>
      </c>
      <c r="I47" s="239" t="s">
        <v>37</v>
      </c>
      <c r="J47" s="240" t="s">
        <v>40</v>
      </c>
      <c r="K47" s="241"/>
      <c r="L47" s="241"/>
      <c r="M47" s="242"/>
    </row>
    <row r="48" spans="1:13" ht="21.95" customHeight="1" x14ac:dyDescent="0.3">
      <c r="A48" s="243"/>
      <c r="B48" s="233"/>
      <c r="C48" s="229"/>
      <c r="D48" s="53"/>
      <c r="E48" s="53"/>
      <c r="F48" s="53"/>
      <c r="G48" s="53"/>
      <c r="H48" s="52"/>
      <c r="I48" s="52"/>
      <c r="J48" s="59"/>
      <c r="K48" s="60"/>
      <c r="L48" s="60"/>
      <c r="M48" s="244"/>
    </row>
    <row r="49" spans="1:16" ht="21.95" customHeight="1" x14ac:dyDescent="0.3">
      <c r="A49" s="245" t="s">
        <v>70</v>
      </c>
      <c r="B49" s="255"/>
      <c r="C49" s="230"/>
      <c r="D49" s="36"/>
      <c r="E49" s="36"/>
      <c r="F49" s="36"/>
      <c r="G49" s="36"/>
      <c r="H49" s="37">
        <v>15</v>
      </c>
      <c r="I49" s="37"/>
      <c r="J49" s="39"/>
      <c r="K49" s="40"/>
      <c r="L49" s="40"/>
      <c r="M49" s="246"/>
    </row>
    <row r="50" spans="1:16" ht="21.95" customHeight="1" thickBot="1" x14ac:dyDescent="0.35">
      <c r="A50" s="247"/>
      <c r="B50" s="256"/>
      <c r="C50" s="248"/>
      <c r="D50" s="249"/>
      <c r="E50" s="249"/>
      <c r="F50" s="249"/>
      <c r="G50" s="249"/>
      <c r="H50" s="250"/>
      <c r="I50" s="250"/>
      <c r="J50" s="251"/>
      <c r="K50" s="252"/>
      <c r="L50" s="252"/>
      <c r="M50" s="253"/>
    </row>
    <row r="51" spans="1:16" ht="21.95" customHeight="1" x14ac:dyDescent="0.3">
      <c r="A51" s="155" t="s">
        <v>44</v>
      </c>
      <c r="B51" s="159"/>
      <c r="C51" s="159"/>
      <c r="D51" s="159"/>
      <c r="E51" s="160"/>
      <c r="F51" s="155" t="s">
        <v>50</v>
      </c>
      <c r="G51" s="159"/>
      <c r="H51" s="159"/>
      <c r="I51" s="159"/>
      <c r="J51" s="159"/>
      <c r="K51" s="159"/>
      <c r="L51" s="159"/>
      <c r="M51" s="160"/>
    </row>
    <row r="52" spans="1:16" ht="21.95" customHeight="1" x14ac:dyDescent="0.3">
      <c r="A52" s="228"/>
      <c r="B52" s="161"/>
      <c r="C52" s="161"/>
      <c r="D52" s="161"/>
      <c r="E52" s="162"/>
      <c r="F52" s="228"/>
      <c r="G52" s="161"/>
      <c r="H52" s="161"/>
      <c r="I52" s="161"/>
      <c r="J52" s="161"/>
      <c r="K52" s="161"/>
      <c r="L52" s="161"/>
      <c r="M52" s="162"/>
    </row>
    <row r="53" spans="1:16" ht="21.95" customHeight="1" thickBot="1" x14ac:dyDescent="0.35">
      <c r="A53" s="67" t="s">
        <v>7</v>
      </c>
      <c r="B53" s="68"/>
      <c r="C53" s="68"/>
      <c r="D53" s="68"/>
      <c r="E53" s="69"/>
      <c r="F53" s="68" t="s">
        <v>7</v>
      </c>
      <c r="G53" s="68"/>
      <c r="H53" s="68"/>
      <c r="I53" s="68"/>
      <c r="J53" s="70"/>
      <c r="K53" s="68"/>
      <c r="L53" s="68"/>
      <c r="M53" s="69"/>
    </row>
    <row r="54" spans="1:16" ht="21.95" customHeight="1" thickTop="1" x14ac:dyDescent="0.3">
      <c r="A54" s="71" t="s">
        <v>43</v>
      </c>
      <c r="B54" s="73" t="s">
        <v>4</v>
      </c>
      <c r="C54" s="73" t="s">
        <v>15</v>
      </c>
      <c r="D54" s="73" t="s">
        <v>3</v>
      </c>
      <c r="E54" s="75" t="s">
        <v>2</v>
      </c>
      <c r="F54" s="71" t="s">
        <v>43</v>
      </c>
      <c r="G54" s="77" t="s">
        <v>17</v>
      </c>
      <c r="H54" s="77" t="s">
        <v>29</v>
      </c>
      <c r="I54" s="79" t="s">
        <v>41</v>
      </c>
      <c r="J54" s="81" t="s">
        <v>42</v>
      </c>
      <c r="K54" s="83" t="s">
        <v>10</v>
      </c>
      <c r="L54" s="85" t="s">
        <v>18</v>
      </c>
      <c r="M54" s="87" t="s">
        <v>8</v>
      </c>
    </row>
    <row r="55" spans="1:16" ht="21.95" customHeight="1" x14ac:dyDescent="0.3">
      <c r="A55" s="72"/>
      <c r="B55" s="74"/>
      <c r="C55" s="74"/>
      <c r="D55" s="74"/>
      <c r="E55" s="76"/>
      <c r="F55" s="72"/>
      <c r="G55" s="78"/>
      <c r="H55" s="78"/>
      <c r="I55" s="80"/>
      <c r="J55" s="82"/>
      <c r="K55" s="84"/>
      <c r="L55" s="86"/>
      <c r="M55" s="88"/>
    </row>
    <row r="56" spans="1:16" ht="21.95" customHeight="1" x14ac:dyDescent="0.3">
      <c r="A56" s="95" t="s">
        <v>26</v>
      </c>
      <c r="B56" s="3"/>
      <c r="C56" s="3"/>
      <c r="D56" s="3"/>
      <c r="E56" s="11" t="s">
        <v>27</v>
      </c>
      <c r="F56" s="97" t="str">
        <f>A56</f>
        <v>Spurious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-36</v>
      </c>
      <c r="J56" s="105" t="str">
        <f>IF(OR(I56-H56&gt;10,I56-H56=-36),"No Peak Found",I56-H56)</f>
        <v>No Peak Found</v>
      </c>
      <c r="K56" s="89" t="s">
        <v>9</v>
      </c>
      <c r="L56" s="91" t="str">
        <f>IF(OR(COUNTIF(B56:D57, "-")+COUNTBLANK(B56:D57)=6), "Pass", IF(H56 &gt; I56, "Fail", IF(J56 &lt; 3, "Margin 부족", "Pass")))</f>
        <v>Pass</v>
      </c>
      <c r="M56" s="93" t="s">
        <v>12</v>
      </c>
    </row>
    <row r="57" spans="1:16" ht="21.95" customHeight="1" thickBot="1" x14ac:dyDescent="0.35">
      <c r="A57" s="96"/>
      <c r="B57" s="7"/>
      <c r="C57" s="7"/>
      <c r="D57" s="7"/>
      <c r="E57" s="12" t="s">
        <v>28</v>
      </c>
      <c r="F57" s="98"/>
      <c r="G57" s="100"/>
      <c r="H57" s="102"/>
      <c r="I57" s="104"/>
      <c r="J57" s="106"/>
      <c r="K57" s="90"/>
      <c r="L57" s="92"/>
      <c r="M57" s="94"/>
    </row>
    <row r="58" spans="1:16" ht="21.95" customHeight="1" thickBot="1" x14ac:dyDescent="0.35">
      <c r="A58" s="107" t="s">
        <v>30</v>
      </c>
      <c r="B58" s="108"/>
      <c r="C58" s="108"/>
      <c r="D58" s="108"/>
      <c r="E58" s="109"/>
      <c r="F58" s="108" t="s">
        <v>30</v>
      </c>
      <c r="G58" s="108"/>
      <c r="H58" s="108"/>
      <c r="I58" s="108"/>
      <c r="J58" s="70"/>
      <c r="K58" s="108"/>
      <c r="L58" s="108"/>
      <c r="M58" s="108"/>
    </row>
    <row r="59" spans="1:16" ht="21.95" customHeight="1" thickTop="1" x14ac:dyDescent="0.3">
      <c r="A59" s="71" t="s">
        <v>43</v>
      </c>
      <c r="B59" s="73" t="s">
        <v>14</v>
      </c>
      <c r="C59" s="73" t="s">
        <v>15</v>
      </c>
      <c r="D59" s="73" t="s">
        <v>16</v>
      </c>
      <c r="E59" s="75" t="s">
        <v>17</v>
      </c>
      <c r="F59" s="71" t="s">
        <v>43</v>
      </c>
      <c r="G59" s="77" t="s">
        <v>17</v>
      </c>
      <c r="H59" s="77" t="s">
        <v>29</v>
      </c>
      <c r="I59" s="79" t="s">
        <v>41</v>
      </c>
      <c r="J59" s="81" t="s">
        <v>42</v>
      </c>
      <c r="K59" s="83" t="s">
        <v>10</v>
      </c>
      <c r="L59" s="85" t="s">
        <v>18</v>
      </c>
      <c r="M59" s="87" t="s">
        <v>8</v>
      </c>
    </row>
    <row r="60" spans="1:16" ht="21.95" customHeight="1" x14ac:dyDescent="0.3">
      <c r="A60" s="72"/>
      <c r="B60" s="74"/>
      <c r="C60" s="74"/>
      <c r="D60" s="74"/>
      <c r="E60" s="76"/>
      <c r="F60" s="72"/>
      <c r="G60" s="78"/>
      <c r="H60" s="78"/>
      <c r="I60" s="80"/>
      <c r="J60" s="82"/>
      <c r="K60" s="84"/>
      <c r="L60" s="86"/>
      <c r="M60" s="88"/>
    </row>
    <row r="61" spans="1:16" ht="21.95" customHeight="1" x14ac:dyDescent="0.3">
      <c r="A61" s="110" t="s">
        <v>26</v>
      </c>
      <c r="B61" s="3"/>
      <c r="C61" s="3"/>
      <c r="D61" s="3"/>
      <c r="E61" s="11" t="s">
        <v>27</v>
      </c>
      <c r="F61" s="112" t="str">
        <f>$A$19</f>
        <v>Spurious</v>
      </c>
      <c r="G61" s="99" t="str">
        <f>IF(COUNT(B61:D61)=0, "H", IF(COUNT(B62:D62)=0, "V", IF(MAX(B61:D61) &gt;= MAX(B62:D62), "V", "H")))</f>
        <v>H</v>
      </c>
      <c r="H61" s="101">
        <f>MAX(B61:D62)</f>
        <v>0</v>
      </c>
      <c r="I61" s="103">
        <v>-30</v>
      </c>
      <c r="J61" s="105" t="str">
        <f>IF(OR(I61-H61&gt;10,I61-H61=-30),"No Peak Found",I61-H61)</f>
        <v>No Peak Found</v>
      </c>
      <c r="K61" s="89" t="s">
        <v>9</v>
      </c>
      <c r="L61" s="91" t="str">
        <f>IF(OR(COUNTIF(B61:D62, "-")+COUNTBLANK(B61:D62)=6), "Pass", IF(H61 &gt; I61, "Fail", IF(J61 &lt; 3, "Margin 부족", "Pass")))</f>
        <v>Pass</v>
      </c>
      <c r="M61" s="93" t="s">
        <v>12</v>
      </c>
    </row>
    <row r="62" spans="1:16" ht="21.95" customHeight="1" thickBot="1" x14ac:dyDescent="0.35">
      <c r="A62" s="111"/>
      <c r="B62" s="7"/>
      <c r="C62" s="7"/>
      <c r="D62" s="7"/>
      <c r="E62" s="12" t="s">
        <v>28</v>
      </c>
      <c r="F62" s="113"/>
      <c r="G62" s="114"/>
      <c r="H62" s="115"/>
      <c r="I62" s="116"/>
      <c r="J62" s="106"/>
      <c r="K62" s="117"/>
      <c r="L62" s="118"/>
      <c r="M62" s="119"/>
    </row>
    <row r="63" spans="1:16" ht="21.95" customHeight="1" thickBot="1" x14ac:dyDescent="0.35">
      <c r="A63" s="120" t="s">
        <v>31</v>
      </c>
      <c r="B63" s="121"/>
      <c r="C63" s="121"/>
      <c r="D63" s="121"/>
      <c r="E63" s="121"/>
      <c r="F63" s="122" t="s">
        <v>31</v>
      </c>
      <c r="G63" s="123"/>
      <c r="H63" s="123"/>
      <c r="I63" s="123"/>
      <c r="J63" s="70"/>
      <c r="K63" s="123"/>
      <c r="L63" s="124"/>
      <c r="M63" s="125"/>
      <c r="N63" s="8" t="s">
        <v>8</v>
      </c>
    </row>
    <row r="64" spans="1:16" ht="21.95" customHeight="1" thickTop="1" x14ac:dyDescent="0.3">
      <c r="A64" s="71" t="s">
        <v>43</v>
      </c>
      <c r="B64" s="73" t="s">
        <v>14</v>
      </c>
      <c r="C64" s="73" t="s">
        <v>15</v>
      </c>
      <c r="D64" s="73" t="s">
        <v>16</v>
      </c>
      <c r="E64" s="75" t="s">
        <v>17</v>
      </c>
      <c r="F64" s="202" t="s">
        <v>43</v>
      </c>
      <c r="G64" s="132" t="s">
        <v>17</v>
      </c>
      <c r="H64" s="132" t="s">
        <v>29</v>
      </c>
      <c r="I64" s="133" t="s">
        <v>41</v>
      </c>
      <c r="J64" s="81" t="s">
        <v>42</v>
      </c>
      <c r="K64" s="134" t="s">
        <v>10</v>
      </c>
      <c r="L64" s="136" t="s">
        <v>18</v>
      </c>
      <c r="M64" s="138" t="s">
        <v>8</v>
      </c>
      <c r="N64" s="163" t="str">
        <f>"1. Sub6 NR Band : " &amp; VALUE(RIGHT(A7, LEN(A7)-1))</f>
        <v>1. Sub6 NR Band : 3</v>
      </c>
      <c r="O64" s="164"/>
      <c r="P64" s="164"/>
    </row>
    <row r="65" spans="1:16" ht="21.95" customHeight="1" x14ac:dyDescent="0.3">
      <c r="A65" s="72"/>
      <c r="B65" s="129"/>
      <c r="C65" s="129"/>
      <c r="D65" s="129"/>
      <c r="E65" s="76"/>
      <c r="F65" s="84"/>
      <c r="G65" s="78"/>
      <c r="H65" s="78"/>
      <c r="I65" s="80"/>
      <c r="J65" s="82"/>
      <c r="K65" s="135"/>
      <c r="L65" s="137"/>
      <c r="M65" s="139"/>
      <c r="N65" s="152" t="str">
        <f>"2. SCS : " &amp; H7 &amp; " kHz"</f>
        <v>2. SCS : 15 kHz</v>
      </c>
      <c r="O65" s="153"/>
      <c r="P65" s="153"/>
    </row>
    <row r="66" spans="1:16" ht="21.95" customHeight="1" x14ac:dyDescent="0.3">
      <c r="A66" s="199">
        <f>J7*2</f>
        <v>0</v>
      </c>
      <c r="B66" s="4"/>
      <c r="C66" s="4"/>
      <c r="D66" s="4"/>
      <c r="E66" s="16" t="s">
        <v>1</v>
      </c>
      <c r="F66" s="201">
        <f>$A$24</f>
        <v>0</v>
      </c>
      <c r="G66" s="99" t="str">
        <f>IF(COUNT(B66:D66)=0, "H", IF(COUNT(B67:D67)=0, "V", IF(MAX(B66:D66) &gt;= MAX(B67:D67), "V", "H")))</f>
        <v>H</v>
      </c>
      <c r="H66" s="101">
        <f>MAX(B66:D67)</f>
        <v>0</v>
      </c>
      <c r="I66" s="103">
        <v>-30</v>
      </c>
      <c r="J66" s="143" t="str">
        <f>IF(OR(I66-H66&gt;10,I66-H66=-30),"No Peak Found",I66-H66)</f>
        <v>No Peak Found</v>
      </c>
      <c r="K66" s="144" t="s">
        <v>9</v>
      </c>
      <c r="L66" s="117" t="str">
        <f>IF(OR(COUNTIF(B66:D67, "-")+COUNTBLANK(B66:D67)=6), "Pass", IF(H66 &gt; I66, "Fail", IF(J66 &lt; 3, "Margin 부족", "Pass")))</f>
        <v>Pass</v>
      </c>
      <c r="M66" s="146" t="s">
        <v>11</v>
      </c>
      <c r="N66" s="152" t="str">
        <f>"3. The test was performed the " &amp; I7 &amp; " antenna."</f>
        <v>3. The test was performed the  antenna.</v>
      </c>
      <c r="O66" s="153"/>
      <c r="P66" s="153"/>
    </row>
    <row r="67" spans="1:16" ht="21.95" customHeight="1" x14ac:dyDescent="0.3">
      <c r="A67" s="200"/>
      <c r="B67" s="4"/>
      <c r="C67" s="4"/>
      <c r="D67" s="4"/>
      <c r="E67" s="16" t="s">
        <v>0</v>
      </c>
      <c r="F67" s="201"/>
      <c r="G67" s="99"/>
      <c r="H67" s="101"/>
      <c r="I67" s="103"/>
      <c r="J67" s="143"/>
      <c r="K67" s="144"/>
      <c r="L67" s="145"/>
      <c r="M67" s="147"/>
      <c r="N67" s="152" t="str">
        <f>"4. " &amp; LEFT(A51, FIND(" ", A51 &amp; " ") - 1) &amp; " Mode Test."</f>
        <v>4. SA Mode Test.</v>
      </c>
      <c r="O67" s="154"/>
      <c r="P67" s="154"/>
    </row>
    <row r="68" spans="1:16" ht="21.95" customHeight="1" x14ac:dyDescent="0.3">
      <c r="A68" s="199">
        <f>J7*3</f>
        <v>0</v>
      </c>
      <c r="B68" s="4"/>
      <c r="C68" s="4"/>
      <c r="D68" s="4"/>
      <c r="E68" s="16" t="s">
        <v>1</v>
      </c>
      <c r="F68" s="203">
        <f>$A$26</f>
        <v>0</v>
      </c>
      <c r="G68" s="99" t="str">
        <f>IF(COUNT(B68:D68)=0, "H", IF(COUNT(B69:D69)=0, "V", IF(MAX(B68:D68) &gt;= MAX(B69:D69), "V", "H")))</f>
        <v>H</v>
      </c>
      <c r="H68" s="101">
        <f>MAX(B68:D69)</f>
        <v>0</v>
      </c>
      <c r="I68" s="149">
        <v>-30</v>
      </c>
      <c r="J68" s="143" t="str">
        <f t="shared" ref="J68" si="3">IF(OR(I68-H68&gt;10,I68-H68=-30),"No Peak Found",I68-H68)</f>
        <v>No Peak Found</v>
      </c>
      <c r="K68" s="150" t="s">
        <v>9</v>
      </c>
      <c r="L68" s="117" t="str">
        <f>IF(OR(COUNTIF(B68:D69, "-")+COUNTBLANK(B68:D69)=6), "Pass", IF(H68 &gt; I68, "Fail", IF(J68 &lt; 3, "Margin 부족", "Pass")))</f>
        <v>Pass</v>
      </c>
      <c r="M68" s="146" t="s">
        <v>11</v>
      </c>
    </row>
    <row r="69" spans="1:16" ht="21.95" customHeight="1" x14ac:dyDescent="0.3">
      <c r="A69" s="200"/>
      <c r="B69" s="4"/>
      <c r="C69" s="4"/>
      <c r="D69" s="4"/>
      <c r="E69" s="16" t="s">
        <v>0</v>
      </c>
      <c r="F69" s="203"/>
      <c r="G69" s="99"/>
      <c r="H69" s="101"/>
      <c r="I69" s="149"/>
      <c r="J69" s="143"/>
      <c r="K69" s="150"/>
      <c r="L69" s="145"/>
      <c r="M69" s="147"/>
    </row>
    <row r="70" spans="1:16" ht="21.95" customHeight="1" x14ac:dyDescent="0.3">
      <c r="A70" s="199">
        <f>J7*4</f>
        <v>0</v>
      </c>
      <c r="B70" s="4"/>
      <c r="C70" s="4"/>
      <c r="D70" s="4"/>
      <c r="E70" s="16" t="s">
        <v>1</v>
      </c>
      <c r="F70" s="201">
        <f>$A$28</f>
        <v>0</v>
      </c>
      <c r="G70" s="99" t="str">
        <f>IF(COUNT(B70:D70)=0, "H", IF(COUNT(B71:D71)=0, "V", IF(MAX(B70:D70) &gt;= MAX(B71:D71), "V", "H")))</f>
        <v>H</v>
      </c>
      <c r="H70" s="101">
        <f>MAX(B70:D71)</f>
        <v>0</v>
      </c>
      <c r="I70" s="149">
        <v>-30</v>
      </c>
      <c r="J70" s="143" t="str">
        <f t="shared" ref="J70" si="4">IF(OR(I70-H70&gt;10,I70-H70=-30),"No Peak Found",I70-H70)</f>
        <v>No Peak Found</v>
      </c>
      <c r="K70" s="171" t="s">
        <v>9</v>
      </c>
      <c r="L70" s="117" t="str">
        <f>IF(OR(COUNTIF(B70:D71, "-")+COUNTBLANK(B70:D71)=6), "Pass", IF(H70 &gt; I70, "Fail", IF(J70 &lt; 3, "Margin 부족", "Pass")))</f>
        <v>Pass</v>
      </c>
      <c r="M70" s="146" t="s">
        <v>11</v>
      </c>
    </row>
    <row r="71" spans="1:16" ht="21.95" customHeight="1" x14ac:dyDescent="0.3">
      <c r="A71" s="200"/>
      <c r="B71" s="4"/>
      <c r="C71" s="4"/>
      <c r="D71" s="4"/>
      <c r="E71" s="16" t="s">
        <v>0</v>
      </c>
      <c r="F71" s="201"/>
      <c r="G71" s="99"/>
      <c r="H71" s="101"/>
      <c r="I71" s="149"/>
      <c r="J71" s="143"/>
      <c r="K71" s="171"/>
      <c r="L71" s="145"/>
      <c r="M71" s="147"/>
    </row>
    <row r="72" spans="1:16" ht="21.95" customHeight="1" x14ac:dyDescent="0.3">
      <c r="A72" s="199">
        <f>J7*5</f>
        <v>0</v>
      </c>
      <c r="B72" s="4"/>
      <c r="C72" s="4"/>
      <c r="D72" s="4"/>
      <c r="E72" s="16" t="s">
        <v>1</v>
      </c>
      <c r="F72" s="203">
        <f>$A$30</f>
        <v>0</v>
      </c>
      <c r="G72" s="99" t="str">
        <f>IF(COUNT(B72:D72)=0, "H", IF(COUNT(B73:D73)=0, "V", IF(MAX(B72:D72) &gt;= MAX(B73:D73), "V", "H")))</f>
        <v>H</v>
      </c>
      <c r="H72" s="101">
        <f>MAX(B72:D73)</f>
        <v>0</v>
      </c>
      <c r="I72" s="149">
        <v>-30</v>
      </c>
      <c r="J72" s="143" t="str">
        <f t="shared" ref="J72" si="5">IF(OR(I72-H72&gt;10,I72-H72=-30),"No Peak Found",I72-H72)</f>
        <v>No Peak Found</v>
      </c>
      <c r="K72" s="171" t="s">
        <v>9</v>
      </c>
      <c r="L72" s="117" t="str">
        <f>IF(OR(COUNTIF(B72:D73, "-")+COUNTBLANK(B72:D73)=6), "Pass", IF(H72 &gt; I72, "Fail", IF(J72 &lt; 3, "Margin 부족", "Pass")))</f>
        <v>Pass</v>
      </c>
      <c r="M72" s="146" t="s">
        <v>11</v>
      </c>
    </row>
    <row r="73" spans="1:16" ht="21.95" customHeight="1" thickBot="1" x14ac:dyDescent="0.35">
      <c r="A73" s="204"/>
      <c r="B73" s="17"/>
      <c r="C73" s="17"/>
      <c r="D73" s="17"/>
      <c r="E73" s="18" t="s">
        <v>28</v>
      </c>
      <c r="F73" s="205"/>
      <c r="G73" s="167"/>
      <c r="H73" s="168"/>
      <c r="I73" s="169"/>
      <c r="J73" s="170"/>
      <c r="K73" s="172"/>
      <c r="L73" s="173"/>
      <c r="M73" s="151"/>
    </row>
    <row r="74" spans="1:16" ht="21.95" customHeight="1" x14ac:dyDescent="0.3">
      <c r="A74" s="155" t="s">
        <v>45</v>
      </c>
      <c r="B74" s="156"/>
      <c r="C74" s="156"/>
      <c r="D74" s="156"/>
      <c r="E74" s="157"/>
      <c r="F74" s="159" t="s">
        <v>51</v>
      </c>
      <c r="G74" s="159"/>
      <c r="H74" s="159"/>
      <c r="I74" s="159"/>
      <c r="J74" s="159"/>
      <c r="K74" s="159"/>
      <c r="L74" s="159"/>
      <c r="M74" s="160"/>
    </row>
    <row r="75" spans="1:16" ht="21.95" customHeight="1" x14ac:dyDescent="0.3">
      <c r="A75" s="158"/>
      <c r="B75" s="156"/>
      <c r="C75" s="156"/>
      <c r="D75" s="156"/>
      <c r="E75" s="157"/>
      <c r="F75" s="161"/>
      <c r="G75" s="161"/>
      <c r="H75" s="161"/>
      <c r="I75" s="161"/>
      <c r="J75" s="161"/>
      <c r="K75" s="161"/>
      <c r="L75" s="161"/>
      <c r="M75" s="162"/>
    </row>
    <row r="76" spans="1:16" ht="21.95" customHeight="1" thickBot="1" x14ac:dyDescent="0.35">
      <c r="A76" s="174" t="s">
        <v>6</v>
      </c>
      <c r="B76" s="175"/>
      <c r="C76" s="175"/>
      <c r="D76" s="175"/>
      <c r="E76" s="176"/>
      <c r="F76" s="177" t="s">
        <v>6</v>
      </c>
      <c r="G76" s="177"/>
      <c r="H76" s="177"/>
      <c r="I76" s="177"/>
      <c r="J76" s="177"/>
      <c r="K76" s="177"/>
      <c r="L76" s="177"/>
      <c r="M76" s="177"/>
    </row>
    <row r="77" spans="1:16" ht="21.95" customHeight="1" thickTop="1" x14ac:dyDescent="0.3">
      <c r="A77" s="71" t="s">
        <v>43</v>
      </c>
      <c r="B77" s="73" t="s">
        <v>14</v>
      </c>
      <c r="C77" s="73" t="s">
        <v>15</v>
      </c>
      <c r="D77" s="73" t="s">
        <v>16</v>
      </c>
      <c r="E77" s="75" t="s">
        <v>17</v>
      </c>
      <c r="F77" s="71" t="s">
        <v>43</v>
      </c>
      <c r="G77" s="77" t="s">
        <v>17</v>
      </c>
      <c r="H77" s="77" t="s">
        <v>29</v>
      </c>
      <c r="I77" s="79" t="s">
        <v>41</v>
      </c>
      <c r="J77" s="81" t="s">
        <v>42</v>
      </c>
      <c r="K77" s="187" t="s">
        <v>10</v>
      </c>
      <c r="L77" s="85" t="s">
        <v>18</v>
      </c>
      <c r="M77" s="87" t="s">
        <v>8</v>
      </c>
    </row>
    <row r="78" spans="1:16" ht="21.95" customHeight="1" x14ac:dyDescent="0.3">
      <c r="A78" s="72"/>
      <c r="B78" s="74"/>
      <c r="C78" s="74"/>
      <c r="D78" s="74"/>
      <c r="E78" s="76"/>
      <c r="F78" s="72"/>
      <c r="G78" s="78"/>
      <c r="H78" s="78"/>
      <c r="I78" s="80"/>
      <c r="J78" s="82"/>
      <c r="K78" s="188"/>
      <c r="L78" s="86"/>
      <c r="M78" s="88"/>
    </row>
    <row r="79" spans="1:16" ht="21.95" customHeight="1" x14ac:dyDescent="0.3">
      <c r="A79" s="189" t="s">
        <v>26</v>
      </c>
      <c r="B79" s="10"/>
      <c r="C79" s="1"/>
      <c r="D79" s="1"/>
      <c r="E79" s="11" t="s">
        <v>27</v>
      </c>
      <c r="F79" s="191" t="str">
        <f>A79</f>
        <v>Spurious</v>
      </c>
      <c r="G79" s="193" t="str">
        <f>IF(COUNT(B79:D79)=0, "H", IF(COUNT(B80:D80)=0, "V", IF(MAX(B79:D79) &gt;= MAX(B80:D80), "V", "H")))</f>
        <v>H</v>
      </c>
      <c r="H79" s="195">
        <f>MAX(B79:D80)</f>
        <v>0</v>
      </c>
      <c r="I79" s="197">
        <v>-57</v>
      </c>
      <c r="J79" s="178" t="str">
        <f>IF(OR(I79-H79&gt;10,I79-H79=-57),"No Peak Found",I79-H79)</f>
        <v>No Peak Found</v>
      </c>
      <c r="K79" s="180" t="s">
        <v>9</v>
      </c>
      <c r="L79" s="91" t="str">
        <f>IF(OR(COUNTIF(B79:D80, "-")+COUNTBLANK(B79:D80)=6), "Pass", IF(H79 &gt; I79, "Fail", IF(J79 &lt; 3, "Margin 부족", "Pass")))</f>
        <v>Pass</v>
      </c>
      <c r="M79" s="182" t="s">
        <v>12</v>
      </c>
    </row>
    <row r="80" spans="1:16" ht="21.95" customHeight="1" thickBot="1" x14ac:dyDescent="0.35">
      <c r="A80" s="190"/>
      <c r="B80" s="2"/>
      <c r="C80" s="2"/>
      <c r="D80" s="2"/>
      <c r="E80" s="12" t="s">
        <v>28</v>
      </c>
      <c r="F80" s="192"/>
      <c r="G80" s="194"/>
      <c r="H80" s="196"/>
      <c r="I80" s="198"/>
      <c r="J80" s="179"/>
      <c r="K80" s="181"/>
      <c r="L80" s="92"/>
      <c r="M80" s="183"/>
    </row>
    <row r="81" spans="1:13" ht="21.95" customHeight="1" thickBot="1" x14ac:dyDescent="0.35">
      <c r="A81" s="184" t="s">
        <v>33</v>
      </c>
      <c r="B81" s="185"/>
      <c r="C81" s="185"/>
      <c r="D81" s="185"/>
      <c r="E81" s="186"/>
      <c r="F81" s="70" t="s">
        <v>33</v>
      </c>
      <c r="G81" s="70"/>
      <c r="H81" s="70"/>
      <c r="I81" s="70"/>
      <c r="J81" s="70"/>
      <c r="K81" s="70"/>
      <c r="L81" s="70"/>
      <c r="M81" s="70"/>
    </row>
    <row r="82" spans="1:13" ht="21.95" customHeight="1" thickTop="1" x14ac:dyDescent="0.3">
      <c r="A82" s="71" t="s">
        <v>43</v>
      </c>
      <c r="B82" s="73" t="s">
        <v>14</v>
      </c>
      <c r="C82" s="73" t="s">
        <v>15</v>
      </c>
      <c r="D82" s="73" t="s">
        <v>16</v>
      </c>
      <c r="E82" s="75" t="s">
        <v>17</v>
      </c>
      <c r="F82" s="71" t="s">
        <v>43</v>
      </c>
      <c r="G82" s="77" t="s">
        <v>17</v>
      </c>
      <c r="H82" s="77" t="s">
        <v>29</v>
      </c>
      <c r="I82" s="79" t="s">
        <v>41</v>
      </c>
      <c r="J82" s="81" t="s">
        <v>42</v>
      </c>
      <c r="K82" s="187" t="s">
        <v>10</v>
      </c>
      <c r="L82" s="85" t="s">
        <v>18</v>
      </c>
      <c r="M82" s="87" t="s">
        <v>8</v>
      </c>
    </row>
    <row r="83" spans="1:13" ht="21.95" customHeight="1" x14ac:dyDescent="0.3">
      <c r="A83" s="72"/>
      <c r="B83" s="74"/>
      <c r="C83" s="74"/>
      <c r="D83" s="74"/>
      <c r="E83" s="76"/>
      <c r="F83" s="72"/>
      <c r="G83" s="78"/>
      <c r="H83" s="78"/>
      <c r="I83" s="80"/>
      <c r="J83" s="82"/>
      <c r="K83" s="188"/>
      <c r="L83" s="86"/>
      <c r="M83" s="88"/>
    </row>
    <row r="84" spans="1:13" ht="21.95" customHeight="1" x14ac:dyDescent="0.3">
      <c r="A84" s="189" t="s">
        <v>26</v>
      </c>
      <c r="B84" s="10"/>
      <c r="C84" s="1"/>
      <c r="D84" s="1"/>
      <c r="E84" s="11" t="s">
        <v>27</v>
      </c>
      <c r="F84" s="191" t="str">
        <f>A84</f>
        <v>Spurious</v>
      </c>
      <c r="G84" s="193" t="str">
        <f>IF(COUNT(B84:D84)=0, "H", IF(COUNT(B85:D85)=0, "V", IF(MAX(B84:D84) &gt;= MAX(B85:D85), "V", "H")))</f>
        <v>H</v>
      </c>
      <c r="H84" s="195">
        <f>MAX(B84:D85)</f>
        <v>0</v>
      </c>
      <c r="I84" s="197">
        <v>-47</v>
      </c>
      <c r="J84" s="178" t="str">
        <f>IF(OR(I84-H84&gt;10,I84-H84=-47),"No Peak Found",I84-H84)</f>
        <v>No Peak Found</v>
      </c>
      <c r="K84" s="180" t="s">
        <v>9</v>
      </c>
      <c r="L84" s="91" t="str">
        <f>IF(OR(COUNTIF(B84:D85, "-")+COUNTBLANK(B84:D85)=6), "Pass", IF(H84 &gt; I84, "Fail", IF(J84 &lt; 3, "Margin 부족", "Pass")))</f>
        <v>Pass</v>
      </c>
      <c r="M84" s="182" t="s">
        <v>12</v>
      </c>
    </row>
    <row r="85" spans="1:13" ht="21.95" customHeight="1" thickBot="1" x14ac:dyDescent="0.35">
      <c r="A85" s="190"/>
      <c r="B85" s="2"/>
      <c r="C85" s="2"/>
      <c r="D85" s="2"/>
      <c r="E85" s="12" t="s">
        <v>28</v>
      </c>
      <c r="F85" s="192"/>
      <c r="G85" s="194"/>
      <c r="H85" s="196"/>
      <c r="I85" s="198"/>
      <c r="J85" s="179"/>
      <c r="K85" s="181"/>
      <c r="L85" s="92"/>
      <c r="M85" s="183"/>
    </row>
  </sheetData>
  <mergeCells count="357">
    <mergeCell ref="J84:J85"/>
    <mergeCell ref="K84:K85"/>
    <mergeCell ref="L84:L85"/>
    <mergeCell ref="M84:M85"/>
    <mergeCell ref="I82:I83"/>
    <mergeCell ref="J82:J83"/>
    <mergeCell ref="K82:K83"/>
    <mergeCell ref="L82:L83"/>
    <mergeCell ref="M82:M83"/>
    <mergeCell ref="A84:A85"/>
    <mergeCell ref="F84:F85"/>
    <mergeCell ref="G84:G85"/>
    <mergeCell ref="H84:H85"/>
    <mergeCell ref="I84:I85"/>
    <mergeCell ref="A81:E81"/>
    <mergeCell ref="F81:M81"/>
    <mergeCell ref="A82:A83"/>
    <mergeCell ref="B82:B83"/>
    <mergeCell ref="C82:C83"/>
    <mergeCell ref="D82:D83"/>
    <mergeCell ref="E82:E83"/>
    <mergeCell ref="F82:F83"/>
    <mergeCell ref="G82:G83"/>
    <mergeCell ref="H82:H83"/>
    <mergeCell ref="M77:M78"/>
    <mergeCell ref="A79:A80"/>
    <mergeCell ref="F79:F80"/>
    <mergeCell ref="G79:G80"/>
    <mergeCell ref="H79:H80"/>
    <mergeCell ref="I79:I80"/>
    <mergeCell ref="J79:J80"/>
    <mergeCell ref="K79:K80"/>
    <mergeCell ref="L79:L80"/>
    <mergeCell ref="M79:M80"/>
    <mergeCell ref="G77:G78"/>
    <mergeCell ref="H77:H78"/>
    <mergeCell ref="I77:I78"/>
    <mergeCell ref="J77:J78"/>
    <mergeCell ref="K77:K78"/>
    <mergeCell ref="L77:L78"/>
    <mergeCell ref="A77:A78"/>
    <mergeCell ref="B77:B78"/>
    <mergeCell ref="C77:C78"/>
    <mergeCell ref="D77:D78"/>
    <mergeCell ref="E77:E78"/>
    <mergeCell ref="F77:F78"/>
    <mergeCell ref="L72:L73"/>
    <mergeCell ref="M72:M73"/>
    <mergeCell ref="A74:E75"/>
    <mergeCell ref="F74:M75"/>
    <mergeCell ref="A76:E76"/>
    <mergeCell ref="F76:M76"/>
    <mergeCell ref="K70:K71"/>
    <mergeCell ref="L70:L71"/>
    <mergeCell ref="M70:M71"/>
    <mergeCell ref="A72:A73"/>
    <mergeCell ref="F72:F73"/>
    <mergeCell ref="G72:G73"/>
    <mergeCell ref="H72:H73"/>
    <mergeCell ref="I72:I73"/>
    <mergeCell ref="J72:J73"/>
    <mergeCell ref="K72:K73"/>
    <mergeCell ref="J68:J69"/>
    <mergeCell ref="K68:K69"/>
    <mergeCell ref="L68:L69"/>
    <mergeCell ref="M68:M69"/>
    <mergeCell ref="A70:A71"/>
    <mergeCell ref="F70:F71"/>
    <mergeCell ref="G70:G71"/>
    <mergeCell ref="H70:H71"/>
    <mergeCell ref="I70:I71"/>
    <mergeCell ref="J70:J71"/>
    <mergeCell ref="K66:K67"/>
    <mergeCell ref="L66:L67"/>
    <mergeCell ref="M66:M67"/>
    <mergeCell ref="N66:P66"/>
    <mergeCell ref="N67:P67"/>
    <mergeCell ref="A68:A69"/>
    <mergeCell ref="F68:F69"/>
    <mergeCell ref="G68:G69"/>
    <mergeCell ref="H68:H69"/>
    <mergeCell ref="I68:I69"/>
    <mergeCell ref="L64:L65"/>
    <mergeCell ref="M64:M65"/>
    <mergeCell ref="N64:P64"/>
    <mergeCell ref="N65:P65"/>
    <mergeCell ref="A66:A67"/>
    <mergeCell ref="F66:F67"/>
    <mergeCell ref="G66:G67"/>
    <mergeCell ref="H66:H67"/>
    <mergeCell ref="I66:I67"/>
    <mergeCell ref="J66:J67"/>
    <mergeCell ref="F64:F65"/>
    <mergeCell ref="G64:G65"/>
    <mergeCell ref="H64:H65"/>
    <mergeCell ref="I64:I65"/>
    <mergeCell ref="J64:J65"/>
    <mergeCell ref="K64:K65"/>
    <mergeCell ref="K61:K62"/>
    <mergeCell ref="L61:L62"/>
    <mergeCell ref="M61:M62"/>
    <mergeCell ref="A63:E63"/>
    <mergeCell ref="F63:M63"/>
    <mergeCell ref="A64:A65"/>
    <mergeCell ref="B64:B65"/>
    <mergeCell ref="C64:C65"/>
    <mergeCell ref="D64:D65"/>
    <mergeCell ref="E64:E65"/>
    <mergeCell ref="A61:A62"/>
    <mergeCell ref="F61:F62"/>
    <mergeCell ref="G61:G62"/>
    <mergeCell ref="H61:H62"/>
    <mergeCell ref="I61:I62"/>
    <mergeCell ref="J61:J62"/>
    <mergeCell ref="H59:H60"/>
    <mergeCell ref="I59:I60"/>
    <mergeCell ref="J59:J60"/>
    <mergeCell ref="K59:K60"/>
    <mergeCell ref="L59:L60"/>
    <mergeCell ref="M59:M60"/>
    <mergeCell ref="M56:M57"/>
    <mergeCell ref="A58:E58"/>
    <mergeCell ref="F58:M58"/>
    <mergeCell ref="A59:A60"/>
    <mergeCell ref="B59:B60"/>
    <mergeCell ref="C59:C60"/>
    <mergeCell ref="D59:D60"/>
    <mergeCell ref="E59:E60"/>
    <mergeCell ref="F59:F60"/>
    <mergeCell ref="G59:G60"/>
    <mergeCell ref="L54:L55"/>
    <mergeCell ref="M54:M55"/>
    <mergeCell ref="A56:A57"/>
    <mergeCell ref="F56:F57"/>
    <mergeCell ref="G56:G57"/>
    <mergeCell ref="H56:H57"/>
    <mergeCell ref="I56:I57"/>
    <mergeCell ref="J56:J57"/>
    <mergeCell ref="K56:K57"/>
    <mergeCell ref="L56:L57"/>
    <mergeCell ref="F54:F55"/>
    <mergeCell ref="G54:G55"/>
    <mergeCell ref="H54:H55"/>
    <mergeCell ref="I54:I55"/>
    <mergeCell ref="J54:J55"/>
    <mergeCell ref="K54:K55"/>
    <mergeCell ref="J49:M50"/>
    <mergeCell ref="A51:E52"/>
    <mergeCell ref="F51:M52"/>
    <mergeCell ref="A53:E53"/>
    <mergeCell ref="F53:M53"/>
    <mergeCell ref="A54:A55"/>
    <mergeCell ref="B54:B55"/>
    <mergeCell ref="C54:C55"/>
    <mergeCell ref="D54:D55"/>
    <mergeCell ref="E54:E55"/>
    <mergeCell ref="J47:M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45:M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M40:M41"/>
    <mergeCell ref="A42:A43"/>
    <mergeCell ref="F42:F43"/>
    <mergeCell ref="G42:G43"/>
    <mergeCell ref="H42:H43"/>
    <mergeCell ref="I42:I43"/>
    <mergeCell ref="J42:J43"/>
    <mergeCell ref="K42:K43"/>
    <mergeCell ref="L42:L43"/>
    <mergeCell ref="M42:M43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J37:J38"/>
    <mergeCell ref="K37:K38"/>
    <mergeCell ref="L37:L38"/>
    <mergeCell ref="M37:M38"/>
    <mergeCell ref="A39:E39"/>
    <mergeCell ref="F39:M39"/>
    <mergeCell ref="I35:I36"/>
    <mergeCell ref="J35:J36"/>
    <mergeCell ref="K35:K36"/>
    <mergeCell ref="L35:L36"/>
    <mergeCell ref="M35:M36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K30:K31"/>
    <mergeCell ref="L30:L31"/>
    <mergeCell ref="M30:M31"/>
    <mergeCell ref="N30:P30"/>
    <mergeCell ref="N31:P31"/>
    <mergeCell ref="A32:E33"/>
    <mergeCell ref="F32:M33"/>
    <mergeCell ref="L28:L29"/>
    <mergeCell ref="M28:M29"/>
    <mergeCell ref="N28:P28"/>
    <mergeCell ref="N29:P29"/>
    <mergeCell ref="A30:A31"/>
    <mergeCell ref="F30:F31"/>
    <mergeCell ref="G30:G31"/>
    <mergeCell ref="H30:H31"/>
    <mergeCell ref="I30:I31"/>
    <mergeCell ref="J30:J31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J24:J25"/>
    <mergeCell ref="K24:K25"/>
    <mergeCell ref="L24:L25"/>
    <mergeCell ref="M24:M25"/>
    <mergeCell ref="A26:A27"/>
    <mergeCell ref="F26:F27"/>
    <mergeCell ref="G26:G27"/>
    <mergeCell ref="H26:H27"/>
    <mergeCell ref="I26:I27"/>
    <mergeCell ref="J26:J27"/>
    <mergeCell ref="I22:I23"/>
    <mergeCell ref="J22:J23"/>
    <mergeCell ref="K22:K23"/>
    <mergeCell ref="L22:L23"/>
    <mergeCell ref="M22:M23"/>
    <mergeCell ref="A24:A25"/>
    <mergeCell ref="F24:F25"/>
    <mergeCell ref="G24:G25"/>
    <mergeCell ref="H24:H25"/>
    <mergeCell ref="I24:I25"/>
    <mergeCell ref="A21:E21"/>
    <mergeCell ref="F21:M21"/>
    <mergeCell ref="A22:A23"/>
    <mergeCell ref="B22:B23"/>
    <mergeCell ref="C22:C23"/>
    <mergeCell ref="D22:D23"/>
    <mergeCell ref="E22:E23"/>
    <mergeCell ref="F22:F23"/>
    <mergeCell ref="G22:G23"/>
    <mergeCell ref="H22:H23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</mergeCells>
  <phoneticPr fontId="1" type="noConversion"/>
  <conditionalFormatting sqref="J14 J19">
    <cfRule type="cellIs" dxfId="542" priority="45" operator="lessThan">
      <formula>10</formula>
    </cfRule>
  </conditionalFormatting>
  <conditionalFormatting sqref="J14">
    <cfRule type="cellIs" dxfId="541" priority="44" operator="equal">
      <formula>-36</formula>
    </cfRule>
  </conditionalFormatting>
  <conditionalFormatting sqref="L14 L19">
    <cfRule type="cellIs" dxfId="540" priority="43" operator="equal">
      <formula>"Fail"</formula>
    </cfRule>
  </conditionalFormatting>
  <conditionalFormatting sqref="J24">
    <cfRule type="cellIs" dxfId="539" priority="41" operator="equal">
      <formula>-30</formula>
    </cfRule>
    <cfRule type="cellIs" dxfId="538" priority="42" operator="lessThan">
      <formula>10</formula>
    </cfRule>
  </conditionalFormatting>
  <conditionalFormatting sqref="L24">
    <cfRule type="cellIs" dxfId="537" priority="40" operator="equal">
      <formula>"Fail"</formula>
    </cfRule>
  </conditionalFormatting>
  <conditionalFormatting sqref="L26">
    <cfRule type="cellIs" dxfId="536" priority="39" operator="equal">
      <formula>"Fail"</formula>
    </cfRule>
  </conditionalFormatting>
  <conditionalFormatting sqref="L28">
    <cfRule type="cellIs" dxfId="535" priority="38" operator="equal">
      <formula>"Fail"</formula>
    </cfRule>
  </conditionalFormatting>
  <conditionalFormatting sqref="L30">
    <cfRule type="cellIs" dxfId="534" priority="37" operator="equal">
      <formula>"Fail"</formula>
    </cfRule>
  </conditionalFormatting>
  <conditionalFormatting sqref="V33">
    <cfRule type="cellIs" dxfId="533" priority="36" operator="equal">
      <formula>"Fail"</formula>
    </cfRule>
  </conditionalFormatting>
  <conditionalFormatting sqref="L14:L15 L19:L20 L24:L31">
    <cfRule type="cellIs" dxfId="532" priority="35" operator="equal">
      <formula>"Pass"</formula>
    </cfRule>
  </conditionalFormatting>
  <conditionalFormatting sqref="L37">
    <cfRule type="cellIs" dxfId="531" priority="34" operator="equal">
      <formula>"Fail"</formula>
    </cfRule>
  </conditionalFormatting>
  <conditionalFormatting sqref="L37:L38">
    <cfRule type="cellIs" dxfId="530" priority="33" operator="equal">
      <formula>"Pass"</formula>
    </cfRule>
  </conditionalFormatting>
  <conditionalFormatting sqref="L42">
    <cfRule type="cellIs" dxfId="529" priority="32" operator="equal">
      <formula>"Fail"</formula>
    </cfRule>
  </conditionalFormatting>
  <conditionalFormatting sqref="L42:L43">
    <cfRule type="cellIs" dxfId="528" priority="31" operator="equal">
      <formula>"Pass"</formula>
    </cfRule>
  </conditionalFormatting>
  <conditionalFormatting sqref="B14:D15">
    <cfRule type="top10" dxfId="527" priority="30" rank="1"/>
  </conditionalFormatting>
  <conditionalFormatting sqref="B19:D20">
    <cfRule type="top10" dxfId="526" priority="29" rank="1"/>
  </conditionalFormatting>
  <conditionalFormatting sqref="B24:D25">
    <cfRule type="top10" dxfId="525" priority="28" rank="1"/>
  </conditionalFormatting>
  <conditionalFormatting sqref="B26:D27">
    <cfRule type="top10" dxfId="524" priority="27" rank="1"/>
  </conditionalFormatting>
  <conditionalFormatting sqref="B28:D29">
    <cfRule type="top10" dxfId="523" priority="26" rank="1"/>
  </conditionalFormatting>
  <conditionalFormatting sqref="B30:D31">
    <cfRule type="top10" dxfId="522" priority="25" rank="1"/>
  </conditionalFormatting>
  <conditionalFormatting sqref="J26 J28 J30">
    <cfRule type="cellIs" dxfId="521" priority="23" operator="equal">
      <formula>-30</formula>
    </cfRule>
    <cfRule type="cellIs" dxfId="520" priority="24" operator="lessThan">
      <formula>10</formula>
    </cfRule>
  </conditionalFormatting>
  <conditionalFormatting sqref="J56 J61">
    <cfRule type="cellIs" dxfId="519" priority="22" operator="lessThan">
      <formula>10</formula>
    </cfRule>
  </conditionalFormatting>
  <conditionalFormatting sqref="J56">
    <cfRule type="cellIs" dxfId="518" priority="21" operator="equal">
      <formula>-36</formula>
    </cfRule>
  </conditionalFormatting>
  <conditionalFormatting sqref="L56 L61">
    <cfRule type="cellIs" dxfId="517" priority="20" operator="equal">
      <formula>"Fail"</formula>
    </cfRule>
  </conditionalFormatting>
  <conditionalFormatting sqref="J66">
    <cfRule type="cellIs" dxfId="516" priority="18" operator="equal">
      <formula>-30</formula>
    </cfRule>
    <cfRule type="cellIs" dxfId="515" priority="19" operator="lessThan">
      <formula>10</formula>
    </cfRule>
  </conditionalFormatting>
  <conditionalFormatting sqref="L66">
    <cfRule type="cellIs" dxfId="514" priority="17" operator="equal">
      <formula>"Fail"</formula>
    </cfRule>
  </conditionalFormatting>
  <conditionalFormatting sqref="L68">
    <cfRule type="cellIs" dxfId="513" priority="16" operator="equal">
      <formula>"Fail"</formula>
    </cfRule>
  </conditionalFormatting>
  <conditionalFormatting sqref="L70">
    <cfRule type="cellIs" dxfId="512" priority="15" operator="equal">
      <formula>"Fail"</formula>
    </cfRule>
  </conditionalFormatting>
  <conditionalFormatting sqref="L72">
    <cfRule type="cellIs" dxfId="511" priority="14" operator="equal">
      <formula>"Fail"</formula>
    </cfRule>
  </conditionalFormatting>
  <conditionalFormatting sqref="L56:L57 L61:L62 L66:L73">
    <cfRule type="cellIs" dxfId="510" priority="13" operator="equal">
      <formula>"Pass"</formula>
    </cfRule>
  </conditionalFormatting>
  <conditionalFormatting sqref="L79">
    <cfRule type="cellIs" dxfId="509" priority="12" operator="equal">
      <formula>"Fail"</formula>
    </cfRule>
  </conditionalFormatting>
  <conditionalFormatting sqref="L79:L80">
    <cfRule type="cellIs" dxfId="508" priority="11" operator="equal">
      <formula>"Pass"</formula>
    </cfRule>
  </conditionalFormatting>
  <conditionalFormatting sqref="L84">
    <cfRule type="cellIs" dxfId="507" priority="10" operator="equal">
      <formula>"Fail"</formula>
    </cfRule>
  </conditionalFormatting>
  <conditionalFormatting sqref="L84:L85">
    <cfRule type="cellIs" dxfId="506" priority="9" operator="equal">
      <formula>"Pass"</formula>
    </cfRule>
  </conditionalFormatting>
  <conditionalFormatting sqref="B56:D57">
    <cfRule type="top10" dxfId="505" priority="8" rank="1"/>
  </conditionalFormatting>
  <conditionalFormatting sqref="B61:D62">
    <cfRule type="top10" dxfId="504" priority="7" rank="1"/>
  </conditionalFormatting>
  <conditionalFormatting sqref="B66:D73">
    <cfRule type="top10" dxfId="503" priority="6" rank="1"/>
  </conditionalFormatting>
  <conditionalFormatting sqref="B68:D69">
    <cfRule type="top10" dxfId="502" priority="5" rank="1"/>
  </conditionalFormatting>
  <conditionalFormatting sqref="B70:D71">
    <cfRule type="top10" dxfId="501" priority="4" rank="1"/>
  </conditionalFormatting>
  <conditionalFormatting sqref="B72:D73">
    <cfRule type="top10" dxfId="500" priority="3" rank="1"/>
  </conditionalFormatting>
  <conditionalFormatting sqref="J68 J70 J72">
    <cfRule type="cellIs" dxfId="499" priority="1" operator="equal">
      <formula>-30</formula>
    </cfRule>
    <cfRule type="cellIs" dxfId="498" priority="2" operator="lessThan">
      <formula>10</formula>
    </cfRule>
  </conditionalFormatting>
  <dataValidations count="1">
    <dataValidation type="list" allowBlank="1" showInputMessage="1" showErrorMessage="1" sqref="M14 M19 M30 M24 M26 M28 M37:M38 M56 M61 M72 M66 M68 M70 M84:M85 M79:M80 M42:M43" xr:uid="{E854FB6A-B889-4E29-BDEE-4B0454A63A2A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8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ADB60-3495-4D46-876F-F8FF08E48B85}">
  <dimension ref="A1:P75"/>
  <sheetViews>
    <sheetView view="pageBreakPreview" zoomScale="85" zoomScaleNormal="100" zoomScaleSheetLayoutView="85" workbookViewId="0">
      <selection activeCell="F46" sqref="F46:M47"/>
    </sheetView>
  </sheetViews>
  <sheetFormatPr defaultRowHeight="16.5" outlineLevelCol="1" x14ac:dyDescent="0.3"/>
  <cols>
    <col min="1" max="11" width="12.625" style="6" customWidth="1"/>
    <col min="12" max="13" width="12.625" hidden="1" customWidth="1" outlineLevel="1"/>
    <col min="14" max="14" width="12.625" customWidth="1" collapsed="1"/>
    <col min="15" max="22" width="12.625" customWidth="1"/>
  </cols>
  <sheetData>
    <row r="1" spans="1:13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3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46</v>
      </c>
      <c r="H2" s="28"/>
      <c r="I2" s="28"/>
      <c r="J2" s="28"/>
      <c r="K2" s="28"/>
      <c r="L2" s="28"/>
      <c r="M2" s="29"/>
    </row>
    <row r="3" spans="1:13" ht="24.95" customHeight="1" x14ac:dyDescent="0.3">
      <c r="A3" s="30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3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3" ht="20.100000000000001" customHeight="1" x14ac:dyDescent="0.3">
      <c r="A7" s="62" t="s">
        <v>59</v>
      </c>
      <c r="B7" s="36"/>
      <c r="C7" s="36"/>
      <c r="D7" s="36"/>
      <c r="E7" s="36"/>
      <c r="F7" s="36"/>
      <c r="G7" s="36"/>
      <c r="H7" s="37">
        <v>15</v>
      </c>
      <c r="I7" s="37"/>
      <c r="J7" s="39"/>
      <c r="K7" s="40"/>
      <c r="L7" s="40"/>
      <c r="M7" s="41"/>
    </row>
    <row r="8" spans="1:13" ht="20.100000000000001" customHeight="1" thickBot="1" x14ac:dyDescent="0.35">
      <c r="A8" s="63"/>
      <c r="B8" s="37"/>
      <c r="C8" s="37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3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3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</row>
    <row r="11" spans="1:13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3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212" t="s">
        <v>18</v>
      </c>
      <c r="M12" s="206" t="s">
        <v>8</v>
      </c>
    </row>
    <row r="13" spans="1:13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213"/>
      <c r="M13" s="207"/>
    </row>
    <row r="14" spans="1:13" ht="21.95" customHeight="1" x14ac:dyDescent="0.3">
      <c r="A14" s="95" t="s">
        <v>26</v>
      </c>
      <c r="B14" s="3"/>
      <c r="C14" s="3"/>
      <c r="D14" s="3"/>
      <c r="E14" s="11" t="s">
        <v>27</v>
      </c>
      <c r="F14" s="226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208" t="str">
        <f>IF(OR(COUNTIF(B14:D15, "-")+COUNTBLANK(B14:D15)=6), "Pass", IF(H14 &gt; I14, "Fail", IF(J14 &lt; 3, "Margin 부족", "Pass")))</f>
        <v>Pass</v>
      </c>
      <c r="M14" s="224" t="s">
        <v>12</v>
      </c>
    </row>
    <row r="15" spans="1:13" ht="21.95" customHeight="1" thickBot="1" x14ac:dyDescent="0.35">
      <c r="A15" s="96"/>
      <c r="B15" s="7"/>
      <c r="C15" s="7"/>
      <c r="D15" s="7"/>
      <c r="E15" s="12" t="s">
        <v>28</v>
      </c>
      <c r="F15" s="227"/>
      <c r="G15" s="100"/>
      <c r="H15" s="102"/>
      <c r="I15" s="104"/>
      <c r="J15" s="106"/>
      <c r="K15" s="90"/>
      <c r="L15" s="209"/>
      <c r="M15" s="225"/>
    </row>
    <row r="16" spans="1:13" ht="21.95" customHeight="1" thickBot="1" x14ac:dyDescent="0.35">
      <c r="A16" s="120" t="s">
        <v>53</v>
      </c>
      <c r="B16" s="121"/>
      <c r="C16" s="121"/>
      <c r="D16" s="121"/>
      <c r="E16" s="121"/>
      <c r="F16" s="122" t="s">
        <v>53</v>
      </c>
      <c r="G16" s="123"/>
      <c r="H16" s="123"/>
      <c r="I16" s="123"/>
      <c r="J16" s="70"/>
      <c r="K16" s="123"/>
      <c r="L16" s="124"/>
      <c r="M16" s="125"/>
    </row>
    <row r="17" spans="1:16" ht="21.95" customHeight="1" thickTop="1" x14ac:dyDescent="0.3">
      <c r="A17" s="126" t="s">
        <v>43</v>
      </c>
      <c r="B17" s="128" t="s">
        <v>14</v>
      </c>
      <c r="C17" s="128" t="s">
        <v>15</v>
      </c>
      <c r="D17" s="128" t="s">
        <v>16</v>
      </c>
      <c r="E17" s="130" t="s">
        <v>17</v>
      </c>
      <c r="F17" s="126" t="s">
        <v>43</v>
      </c>
      <c r="G17" s="132" t="s">
        <v>17</v>
      </c>
      <c r="H17" s="132" t="s">
        <v>29</v>
      </c>
      <c r="I17" s="133" t="s">
        <v>41</v>
      </c>
      <c r="J17" s="81" t="s">
        <v>42</v>
      </c>
      <c r="K17" s="134" t="s">
        <v>10</v>
      </c>
      <c r="L17" s="220" t="s">
        <v>18</v>
      </c>
      <c r="M17" s="222" t="s">
        <v>8</v>
      </c>
    </row>
    <row r="18" spans="1:16" ht="21.75" customHeight="1" x14ac:dyDescent="0.3">
      <c r="A18" s="127"/>
      <c r="B18" s="129"/>
      <c r="C18" s="129"/>
      <c r="D18" s="129"/>
      <c r="E18" s="131"/>
      <c r="F18" s="127"/>
      <c r="G18" s="78"/>
      <c r="H18" s="78"/>
      <c r="I18" s="80"/>
      <c r="J18" s="82"/>
      <c r="K18" s="135"/>
      <c r="L18" s="221"/>
      <c r="M18" s="223"/>
    </row>
    <row r="19" spans="1:16" ht="21.95" customHeight="1" x14ac:dyDescent="0.3">
      <c r="A19" s="140">
        <f>J7*2</f>
        <v>0</v>
      </c>
      <c r="B19" s="4"/>
      <c r="C19" s="4"/>
      <c r="D19" s="4"/>
      <c r="E19" s="13" t="s">
        <v>1</v>
      </c>
      <c r="F19" s="142">
        <f>$A$19</f>
        <v>0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43" t="str">
        <f>IF(OR(I19-H19&gt;10,I19-H19=-30),"No Peak Found",I19-H19)</f>
        <v>No Peak Found</v>
      </c>
      <c r="K19" s="144" t="s">
        <v>9</v>
      </c>
      <c r="L19" s="216" t="str">
        <f>IF(OR(COUNTIF(B19:D20, "-")+COUNTBLANK(B19:D20)=6), "Pass", IF(H19 &gt; I19, "Fail", IF(J19 &lt; 3, "Margin 부족", "Pass")))</f>
        <v>Pass</v>
      </c>
      <c r="M19" s="214" t="s">
        <v>11</v>
      </c>
    </row>
    <row r="20" spans="1:16" ht="21.95" customHeight="1" x14ac:dyDescent="0.3">
      <c r="A20" s="141"/>
      <c r="B20" s="4"/>
      <c r="C20" s="4"/>
      <c r="D20" s="4"/>
      <c r="E20" s="13" t="s">
        <v>0</v>
      </c>
      <c r="F20" s="142"/>
      <c r="G20" s="99"/>
      <c r="H20" s="101"/>
      <c r="I20" s="103"/>
      <c r="J20" s="143"/>
      <c r="K20" s="144"/>
      <c r="L20" s="217"/>
      <c r="M20" s="218"/>
    </row>
    <row r="21" spans="1:16" ht="21.95" customHeight="1" x14ac:dyDescent="0.3">
      <c r="A21" s="140">
        <f>J7*3</f>
        <v>0</v>
      </c>
      <c r="B21" s="4"/>
      <c r="C21" s="4"/>
      <c r="D21" s="4"/>
      <c r="E21" s="13" t="s">
        <v>1</v>
      </c>
      <c r="F21" s="148">
        <f>$A$21</f>
        <v>0</v>
      </c>
      <c r="G21" s="99" t="str">
        <f>IF(COUNT(B21:D21)=0, "H", IF(COUNT(B22:D22)=0, "V", IF(MAX(B21:D21) &gt;= MAX(B22:D22), "V", "H")))</f>
        <v>H</v>
      </c>
      <c r="H21" s="101">
        <f>MAX(B21:D22)</f>
        <v>0</v>
      </c>
      <c r="I21" s="149">
        <v>-30</v>
      </c>
      <c r="J21" s="143" t="str">
        <f t="shared" ref="J21" si="0">IF(OR(I21-H21&gt;10,I21-H21=-30),"No Peak Found",I21-H21)</f>
        <v>No Peak Found</v>
      </c>
      <c r="K21" s="150" t="s">
        <v>9</v>
      </c>
      <c r="L21" s="216" t="str">
        <f>IF(OR(COUNTIF(B21:D22, "-")+COUNTBLANK(B21:D22)=6), "Pass", IF(H21 &gt; I21, "Fail", IF(J21 &lt; 3, "Margin 부족", "Pass")))</f>
        <v>Pass</v>
      </c>
      <c r="M21" s="214" t="s">
        <v>11</v>
      </c>
    </row>
    <row r="22" spans="1:16" ht="21.95" customHeight="1" x14ac:dyDescent="0.3">
      <c r="A22" s="141"/>
      <c r="B22" s="4"/>
      <c r="C22" s="4"/>
      <c r="D22" s="4"/>
      <c r="E22" s="13" t="s">
        <v>0</v>
      </c>
      <c r="F22" s="148"/>
      <c r="G22" s="99"/>
      <c r="H22" s="101"/>
      <c r="I22" s="149"/>
      <c r="J22" s="143"/>
      <c r="K22" s="150"/>
      <c r="L22" s="217"/>
      <c r="M22" s="218"/>
      <c r="N22" s="8" t="s">
        <v>8</v>
      </c>
      <c r="O22" s="6"/>
      <c r="P22" s="6"/>
    </row>
    <row r="23" spans="1:16" ht="21.95" customHeight="1" x14ac:dyDescent="0.3">
      <c r="A23" s="140">
        <f>J7*4</f>
        <v>0</v>
      </c>
      <c r="B23" s="4"/>
      <c r="C23" s="4"/>
      <c r="D23" s="4"/>
      <c r="E23" s="13" t="s">
        <v>1</v>
      </c>
      <c r="F23" s="142">
        <f>$A$23</f>
        <v>0</v>
      </c>
      <c r="G23" s="99" t="str">
        <f>IF(COUNT(B23:D23)=0, "H", IF(COUNT(B24:D24)=0, "V", IF(MAX(B23:D23) &gt;= MAX(B24:D24), "V", "H")))</f>
        <v>H</v>
      </c>
      <c r="H23" s="101">
        <f>MAX(B23:D24)</f>
        <v>0</v>
      </c>
      <c r="I23" s="149">
        <v>-30</v>
      </c>
      <c r="J23" s="143" t="str">
        <f t="shared" ref="J23" si="1">IF(OR(I23-H23&gt;10,I23-H23=-30),"No Peak Found",I23-H23)</f>
        <v>No Peak Found</v>
      </c>
      <c r="K23" s="171" t="s">
        <v>9</v>
      </c>
      <c r="L23" s="216" t="str">
        <f>IF(OR(COUNTIF(B23:D24, "-")+COUNTBLANK(B23:D24)=6), "Pass", IF(H23 &gt; I23, "Fail", IF(J23 &lt; 3, "Margin 부족", "Pass")))</f>
        <v>Pass</v>
      </c>
      <c r="M23" s="214" t="s">
        <v>11</v>
      </c>
      <c r="N23" s="163" t="str">
        <f>"1. Sub6 NR Band : " &amp; VALUE(RIGHT(A7, LEN(A7)-1))</f>
        <v>1. Sub6 NR Band : 5</v>
      </c>
      <c r="O23" s="164"/>
      <c r="P23" s="164"/>
    </row>
    <row r="24" spans="1:16" ht="21.95" customHeight="1" x14ac:dyDescent="0.3">
      <c r="A24" s="141"/>
      <c r="B24" s="4"/>
      <c r="C24" s="4"/>
      <c r="D24" s="4"/>
      <c r="E24" s="13" t="s">
        <v>0</v>
      </c>
      <c r="F24" s="142"/>
      <c r="G24" s="99"/>
      <c r="H24" s="101"/>
      <c r="I24" s="149"/>
      <c r="J24" s="143"/>
      <c r="K24" s="171"/>
      <c r="L24" s="217"/>
      <c r="M24" s="218"/>
      <c r="N24" s="152" t="str">
        <f>"2. SCS : " &amp; H7 &amp; " kHz"</f>
        <v>2. SCS : 15 kHz</v>
      </c>
      <c r="O24" s="153"/>
      <c r="P24" s="153"/>
    </row>
    <row r="25" spans="1:16" ht="21.95" customHeight="1" x14ac:dyDescent="0.3">
      <c r="A25" s="140">
        <f>J7*5</f>
        <v>0</v>
      </c>
      <c r="B25" s="4"/>
      <c r="C25" s="4"/>
      <c r="D25" s="4"/>
      <c r="E25" s="13" t="s">
        <v>1</v>
      </c>
      <c r="F25" s="148">
        <f>$A$25</f>
        <v>0</v>
      </c>
      <c r="G25" s="99" t="str">
        <f>IF(COUNT(B25:D25)=0, "H", IF(COUNT(B26:D26)=0, "V", IF(MAX(B25:D25) &gt;= MAX(B26:D26), "V", "H")))</f>
        <v>H</v>
      </c>
      <c r="H25" s="101">
        <f>MAX(B25:D26)</f>
        <v>0</v>
      </c>
      <c r="I25" s="149">
        <v>-30</v>
      </c>
      <c r="J25" s="143" t="str">
        <f t="shared" ref="J25" si="2">IF(OR(I25-H25&gt;10,I25-H25=-30),"No Peak Found",I25-H25)</f>
        <v>No Peak Found</v>
      </c>
      <c r="K25" s="171" t="s">
        <v>9</v>
      </c>
      <c r="L25" s="216" t="str">
        <f>IF(OR(COUNTIF(B25:D26, "-")+COUNTBLANK(B25:D26)=6), "Pass", IF(H25 &gt; I25, "Fail", IF(J25 &lt; 3, "Margin 부족", "Pass")))</f>
        <v>Pass</v>
      </c>
      <c r="M25" s="214" t="s">
        <v>11</v>
      </c>
      <c r="N25" s="152" t="str">
        <f>"3. The test was performed the " &amp; I7 &amp; " antenna."</f>
        <v>3. The test was performed the  antenna.</v>
      </c>
      <c r="O25" s="153"/>
      <c r="P25" s="153"/>
    </row>
    <row r="26" spans="1:16" ht="21.95" customHeight="1" thickBot="1" x14ac:dyDescent="0.35">
      <c r="A26" s="165"/>
      <c r="B26" s="9"/>
      <c r="C26" s="9"/>
      <c r="D26" s="9"/>
      <c r="E26" s="14" t="s">
        <v>28</v>
      </c>
      <c r="F26" s="166"/>
      <c r="G26" s="167"/>
      <c r="H26" s="168"/>
      <c r="I26" s="169"/>
      <c r="J26" s="170"/>
      <c r="K26" s="172"/>
      <c r="L26" s="219"/>
      <c r="M26" s="215"/>
      <c r="N26" s="152" t="str">
        <f>"4. " &amp; LEFT(A9, FIND(" ", A9 &amp; " ") - 1) &amp; " Mode Test."</f>
        <v>4. NSA Mode Test.</v>
      </c>
      <c r="O26" s="154"/>
      <c r="P26" s="154"/>
    </row>
    <row r="27" spans="1:16" ht="24.95" customHeight="1" x14ac:dyDescent="0.3">
      <c r="A27" s="155" t="s">
        <v>32</v>
      </c>
      <c r="B27" s="156"/>
      <c r="C27" s="156"/>
      <c r="D27" s="156"/>
      <c r="E27" s="157"/>
      <c r="F27" s="159" t="s">
        <v>49</v>
      </c>
      <c r="G27" s="159"/>
      <c r="H27" s="159"/>
      <c r="I27" s="159"/>
      <c r="J27" s="159"/>
      <c r="K27" s="159"/>
      <c r="L27" s="159"/>
      <c r="M27" s="160"/>
    </row>
    <row r="28" spans="1:16" ht="24.95" customHeight="1" x14ac:dyDescent="0.3">
      <c r="A28" s="158"/>
      <c r="B28" s="156"/>
      <c r="C28" s="156"/>
      <c r="D28" s="156"/>
      <c r="E28" s="157"/>
      <c r="F28" s="161"/>
      <c r="G28" s="161"/>
      <c r="H28" s="161"/>
      <c r="I28" s="161"/>
      <c r="J28" s="161"/>
      <c r="K28" s="161"/>
      <c r="L28" s="161"/>
      <c r="M28" s="162"/>
    </row>
    <row r="29" spans="1:16" ht="21.95" customHeight="1" thickBot="1" x14ac:dyDescent="0.35">
      <c r="A29" s="174" t="s">
        <v>6</v>
      </c>
      <c r="B29" s="175"/>
      <c r="C29" s="175"/>
      <c r="D29" s="175"/>
      <c r="E29" s="176"/>
      <c r="F29" s="177" t="s">
        <v>6</v>
      </c>
      <c r="G29" s="177"/>
      <c r="H29" s="177"/>
      <c r="I29" s="177"/>
      <c r="J29" s="177"/>
      <c r="K29" s="177"/>
      <c r="L29" s="177"/>
      <c r="M29" s="177"/>
    </row>
    <row r="30" spans="1:16" ht="21.95" customHeight="1" thickTop="1" x14ac:dyDescent="0.3">
      <c r="A30" s="71" t="s">
        <v>43</v>
      </c>
      <c r="B30" s="73" t="s">
        <v>14</v>
      </c>
      <c r="C30" s="73" t="s">
        <v>15</v>
      </c>
      <c r="D30" s="73" t="s">
        <v>16</v>
      </c>
      <c r="E30" s="75" t="s">
        <v>17</v>
      </c>
      <c r="F30" s="71" t="s">
        <v>43</v>
      </c>
      <c r="G30" s="77" t="s">
        <v>17</v>
      </c>
      <c r="H30" s="77" t="s">
        <v>29</v>
      </c>
      <c r="I30" s="79" t="s">
        <v>41</v>
      </c>
      <c r="J30" s="81" t="s">
        <v>42</v>
      </c>
      <c r="K30" s="187" t="s">
        <v>10</v>
      </c>
      <c r="L30" s="212" t="s">
        <v>18</v>
      </c>
      <c r="M30" s="206" t="s">
        <v>8</v>
      </c>
    </row>
    <row r="31" spans="1:16" ht="21.95" customHeight="1" x14ac:dyDescent="0.3">
      <c r="A31" s="72"/>
      <c r="B31" s="74"/>
      <c r="C31" s="74"/>
      <c r="D31" s="74"/>
      <c r="E31" s="76"/>
      <c r="F31" s="72"/>
      <c r="G31" s="78"/>
      <c r="H31" s="78"/>
      <c r="I31" s="80"/>
      <c r="J31" s="82"/>
      <c r="K31" s="188"/>
      <c r="L31" s="213"/>
      <c r="M31" s="207"/>
    </row>
    <row r="32" spans="1:16" ht="21.95" customHeight="1" x14ac:dyDescent="0.3">
      <c r="A32" s="189" t="s">
        <v>26</v>
      </c>
      <c r="B32" s="10"/>
      <c r="C32" s="1"/>
      <c r="D32" s="1"/>
      <c r="E32" s="11" t="s">
        <v>27</v>
      </c>
      <c r="F32" s="191" t="str">
        <f>A32</f>
        <v>Spurious</v>
      </c>
      <c r="G32" s="193" t="str">
        <f>IF(COUNT(B32:D32)=0, "H", IF(COUNT(B33:D33)=0, "V", IF(MAX(B32:D32) &gt;= MAX(B33:D33), "V", "H")))</f>
        <v>H</v>
      </c>
      <c r="H32" s="195">
        <f>MAX(B32:D33)</f>
        <v>0</v>
      </c>
      <c r="I32" s="197">
        <v>-57</v>
      </c>
      <c r="J32" s="178" t="str">
        <f>IF(OR(I32-H32&gt;10,I32-H32=-57),"No Peak Found",I32-H32)</f>
        <v>No Peak Found</v>
      </c>
      <c r="K32" s="180" t="s">
        <v>9</v>
      </c>
      <c r="L32" s="208" t="str">
        <f>IF(OR(COUNTIF(B32:D33, "-")+COUNTBLANK(B32:D33)=6), "Pass", IF(H32 &gt; I32, "Fail", IF(J32 &lt; 3, "Margin 부족", "Pass")))</f>
        <v>Pass</v>
      </c>
      <c r="M32" s="210" t="s">
        <v>12</v>
      </c>
    </row>
    <row r="33" spans="1:13" ht="21.95" customHeight="1" thickBot="1" x14ac:dyDescent="0.35">
      <c r="A33" s="190"/>
      <c r="B33" s="2"/>
      <c r="C33" s="2"/>
      <c r="D33" s="2"/>
      <c r="E33" s="12" t="s">
        <v>28</v>
      </c>
      <c r="F33" s="192"/>
      <c r="G33" s="194"/>
      <c r="H33" s="196"/>
      <c r="I33" s="198"/>
      <c r="J33" s="179"/>
      <c r="K33" s="181"/>
      <c r="L33" s="209"/>
      <c r="M33" s="211"/>
    </row>
    <row r="34" spans="1:13" ht="21.95" customHeight="1" thickBot="1" x14ac:dyDescent="0.35">
      <c r="A34" s="184" t="s">
        <v>33</v>
      </c>
      <c r="B34" s="185"/>
      <c r="C34" s="185"/>
      <c r="D34" s="185"/>
      <c r="E34" s="186"/>
      <c r="F34" s="70" t="s">
        <v>33</v>
      </c>
      <c r="G34" s="70"/>
      <c r="H34" s="70"/>
      <c r="I34" s="70"/>
      <c r="J34" s="70"/>
      <c r="K34" s="70"/>
      <c r="L34" s="70"/>
      <c r="M34" s="70"/>
    </row>
    <row r="35" spans="1:13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212" t="s">
        <v>18</v>
      </c>
      <c r="M35" s="206" t="s">
        <v>8</v>
      </c>
    </row>
    <row r="36" spans="1:13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213"/>
      <c r="M36" s="207"/>
    </row>
    <row r="37" spans="1:13" ht="21.95" customHeight="1" x14ac:dyDescent="0.3">
      <c r="A37" s="189" t="s">
        <v>26</v>
      </c>
      <c r="B37" s="3"/>
      <c r="C37" s="3"/>
      <c r="D37" s="3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-47</v>
      </c>
      <c r="J37" s="178" t="str">
        <f>IF(OR(I37-H37&gt;10,I37-H37=-47),"No Peak Found",I37-H37)</f>
        <v>No Peak Found</v>
      </c>
      <c r="K37" s="180" t="s">
        <v>9</v>
      </c>
      <c r="L37" s="208" t="str">
        <f>IF(OR(COUNTIF(B37:D38, "-")+COUNTBLANK(B37:D38)=6), "Pass", IF(H37 &gt; I37, "Fail", IF(J37 &lt; 3, "Margin 부족", "Pass")))</f>
        <v>Pass</v>
      </c>
      <c r="M37" s="210" t="s">
        <v>12</v>
      </c>
    </row>
    <row r="38" spans="1:13" ht="21.95" customHeight="1" thickBot="1" x14ac:dyDescent="0.35">
      <c r="A38" s="190"/>
      <c r="B38" s="7"/>
      <c r="C38" s="7"/>
      <c r="D38" s="7"/>
      <c r="E38" s="12" t="s">
        <v>28</v>
      </c>
      <c r="F38" s="192"/>
      <c r="G38" s="194"/>
      <c r="H38" s="196"/>
      <c r="I38" s="198"/>
      <c r="J38" s="179"/>
      <c r="K38" s="181"/>
      <c r="L38" s="209"/>
      <c r="M38" s="211"/>
    </row>
    <row r="39" spans="1:13" ht="21.95" customHeight="1" thickBot="1" x14ac:dyDescent="0.35"/>
    <row r="40" spans="1:13" ht="21.95" customHeight="1" x14ac:dyDescent="0.3">
      <c r="A40" s="30" t="s">
        <v>67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2"/>
    </row>
    <row r="41" spans="1:13" ht="21.95" customHeight="1" thickBot="1" x14ac:dyDescent="0.35">
      <c r="A41" s="3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5"/>
    </row>
    <row r="42" spans="1:13" ht="21.95" customHeight="1" x14ac:dyDescent="0.3">
      <c r="A42" s="52" t="s">
        <v>19</v>
      </c>
      <c r="B42" s="66" t="s">
        <v>47</v>
      </c>
      <c r="C42" s="52" t="s">
        <v>22</v>
      </c>
      <c r="D42" s="52" t="s">
        <v>23</v>
      </c>
      <c r="E42" s="52" t="s">
        <v>20</v>
      </c>
      <c r="F42" s="52" t="s">
        <v>21</v>
      </c>
      <c r="G42" s="52" t="s">
        <v>24</v>
      </c>
      <c r="H42" s="54" t="s">
        <v>39</v>
      </c>
      <c r="I42" s="55" t="s">
        <v>37</v>
      </c>
      <c r="J42" s="56" t="s">
        <v>40</v>
      </c>
      <c r="K42" s="57"/>
      <c r="L42" s="57"/>
      <c r="M42" s="58"/>
    </row>
    <row r="43" spans="1:13" ht="21.95" customHeight="1" x14ac:dyDescent="0.3">
      <c r="A43" s="53"/>
      <c r="B43" s="53"/>
      <c r="C43" s="53"/>
      <c r="D43" s="53"/>
      <c r="E43" s="53"/>
      <c r="F43" s="53"/>
      <c r="G43" s="53"/>
      <c r="H43" s="52"/>
      <c r="I43" s="52"/>
      <c r="J43" s="59"/>
      <c r="K43" s="60"/>
      <c r="L43" s="60"/>
      <c r="M43" s="61"/>
    </row>
    <row r="44" spans="1:13" ht="21.95" customHeight="1" x14ac:dyDescent="0.3">
      <c r="A44" s="62" t="s">
        <v>59</v>
      </c>
      <c r="B44" s="257"/>
      <c r="C44" s="36"/>
      <c r="D44" s="36"/>
      <c r="E44" s="36"/>
      <c r="F44" s="36"/>
      <c r="G44" s="36"/>
      <c r="H44" s="37">
        <v>15</v>
      </c>
      <c r="I44" s="37"/>
      <c r="J44" s="39"/>
      <c r="K44" s="40"/>
      <c r="L44" s="40"/>
      <c r="M44" s="41"/>
    </row>
    <row r="45" spans="1:13" ht="21.95" customHeight="1" thickBot="1" x14ac:dyDescent="0.35">
      <c r="A45" s="63"/>
      <c r="B45" s="258"/>
      <c r="C45" s="37"/>
      <c r="D45" s="37"/>
      <c r="E45" s="37"/>
      <c r="F45" s="37"/>
      <c r="G45" s="37"/>
      <c r="H45" s="38"/>
      <c r="I45" s="38"/>
      <c r="J45" s="42"/>
      <c r="K45" s="43"/>
      <c r="L45" s="43"/>
      <c r="M45" s="44"/>
    </row>
    <row r="46" spans="1:13" ht="21.95" customHeight="1" x14ac:dyDescent="0.3">
      <c r="A46" s="45" t="s">
        <v>44</v>
      </c>
      <c r="B46" s="46"/>
      <c r="C46" s="46"/>
      <c r="D46" s="46"/>
      <c r="E46" s="47"/>
      <c r="F46" s="51" t="s">
        <v>50</v>
      </c>
      <c r="G46" s="46"/>
      <c r="H46" s="46"/>
      <c r="I46" s="46"/>
      <c r="J46" s="46"/>
      <c r="K46" s="46"/>
      <c r="L46" s="46"/>
      <c r="M46" s="47"/>
    </row>
    <row r="47" spans="1:13" ht="21.95" customHeight="1" x14ac:dyDescent="0.3">
      <c r="A47" s="48"/>
      <c r="B47" s="49"/>
      <c r="C47" s="49"/>
      <c r="D47" s="49"/>
      <c r="E47" s="50"/>
      <c r="F47" s="49"/>
      <c r="G47" s="49"/>
      <c r="H47" s="49"/>
      <c r="I47" s="49"/>
      <c r="J47" s="49"/>
      <c r="K47" s="49"/>
      <c r="L47" s="49"/>
      <c r="M47" s="50"/>
    </row>
    <row r="48" spans="1:13" ht="21.95" customHeight="1" thickBot="1" x14ac:dyDescent="0.35">
      <c r="A48" s="67" t="s">
        <v>7</v>
      </c>
      <c r="B48" s="68"/>
      <c r="C48" s="68"/>
      <c r="D48" s="68"/>
      <c r="E48" s="69"/>
      <c r="F48" s="68" t="s">
        <v>7</v>
      </c>
      <c r="G48" s="68"/>
      <c r="H48" s="68"/>
      <c r="I48" s="68"/>
      <c r="J48" s="70"/>
      <c r="K48" s="68"/>
      <c r="L48" s="68"/>
      <c r="M48" s="69"/>
    </row>
    <row r="49" spans="1:16" ht="21.95" customHeight="1" thickTop="1" x14ac:dyDescent="0.3">
      <c r="A49" s="71" t="s">
        <v>43</v>
      </c>
      <c r="B49" s="73" t="s">
        <v>4</v>
      </c>
      <c r="C49" s="73" t="s">
        <v>15</v>
      </c>
      <c r="D49" s="73" t="s">
        <v>3</v>
      </c>
      <c r="E49" s="75" t="s">
        <v>2</v>
      </c>
      <c r="F49" s="71" t="s">
        <v>43</v>
      </c>
      <c r="G49" s="77" t="s">
        <v>17</v>
      </c>
      <c r="H49" s="77" t="s">
        <v>29</v>
      </c>
      <c r="I49" s="79" t="s">
        <v>41</v>
      </c>
      <c r="J49" s="81" t="s">
        <v>42</v>
      </c>
      <c r="K49" s="83" t="s">
        <v>10</v>
      </c>
      <c r="L49" s="212" t="s">
        <v>18</v>
      </c>
      <c r="M49" s="206" t="s">
        <v>8</v>
      </c>
    </row>
    <row r="50" spans="1:16" ht="21.95" customHeight="1" x14ac:dyDescent="0.3">
      <c r="A50" s="72"/>
      <c r="B50" s="74"/>
      <c r="C50" s="74"/>
      <c r="D50" s="74"/>
      <c r="E50" s="76"/>
      <c r="F50" s="72"/>
      <c r="G50" s="78"/>
      <c r="H50" s="78"/>
      <c r="I50" s="80"/>
      <c r="J50" s="82"/>
      <c r="K50" s="84"/>
      <c r="L50" s="213"/>
      <c r="M50" s="207"/>
    </row>
    <row r="51" spans="1:16" ht="21.95" customHeight="1" x14ac:dyDescent="0.3">
      <c r="A51" s="95" t="s">
        <v>26</v>
      </c>
      <c r="B51" s="3"/>
      <c r="C51" s="3"/>
      <c r="D51" s="3"/>
      <c r="E51" s="11" t="s">
        <v>27</v>
      </c>
      <c r="F51" s="97" t="str">
        <f>A51</f>
        <v>Spurious</v>
      </c>
      <c r="G51" s="99" t="str">
        <f>IF(COUNT(B51:D51)=0, "H", IF(COUNT(B52:D52)=0, "V", IF(MAX(B51:D51) &gt;= MAX(B52:D52), "V", "H")))</f>
        <v>H</v>
      </c>
      <c r="H51" s="101">
        <f>MAX(B51:D52)</f>
        <v>0</v>
      </c>
      <c r="I51" s="103">
        <v>-36</v>
      </c>
      <c r="J51" s="105" t="str">
        <f>IF(OR(I51-H51&gt;10,I51-H51=-36),"No Peak Found",I51-H51)</f>
        <v>No Peak Found</v>
      </c>
      <c r="K51" s="89" t="s">
        <v>9</v>
      </c>
      <c r="L51" s="208" t="str">
        <f>IF(OR(COUNTIF(B51:D52, "-")+COUNTBLANK(B51:D52)=6), "Pass", IF(H51 &gt; I51, "Fail", IF(J51 &lt; 3, "Margin 부족", "Pass")))</f>
        <v>Pass</v>
      </c>
      <c r="M51" s="224" t="s">
        <v>12</v>
      </c>
    </row>
    <row r="52" spans="1:16" ht="21.95" customHeight="1" thickBot="1" x14ac:dyDescent="0.35">
      <c r="A52" s="96"/>
      <c r="B52" s="7"/>
      <c r="C52" s="7"/>
      <c r="D52" s="7"/>
      <c r="E52" s="12" t="s">
        <v>28</v>
      </c>
      <c r="F52" s="98"/>
      <c r="G52" s="100"/>
      <c r="H52" s="102"/>
      <c r="I52" s="104"/>
      <c r="J52" s="106"/>
      <c r="K52" s="90"/>
      <c r="L52" s="209"/>
      <c r="M52" s="225"/>
    </row>
    <row r="53" spans="1:16" ht="21.95" customHeight="1" thickBot="1" x14ac:dyDescent="0.35">
      <c r="A53" s="120" t="s">
        <v>53</v>
      </c>
      <c r="B53" s="121"/>
      <c r="C53" s="121"/>
      <c r="D53" s="121"/>
      <c r="E53" s="121"/>
      <c r="F53" s="122" t="s">
        <v>53</v>
      </c>
      <c r="G53" s="123"/>
      <c r="H53" s="123"/>
      <c r="I53" s="123"/>
      <c r="J53" s="70"/>
      <c r="K53" s="123"/>
      <c r="L53" s="124"/>
      <c r="M53" s="125"/>
      <c r="N53" s="8" t="s">
        <v>8</v>
      </c>
      <c r="O53" s="6"/>
      <c r="P53" s="6"/>
    </row>
    <row r="54" spans="1:16" ht="21.95" customHeight="1" thickTop="1" x14ac:dyDescent="0.3">
      <c r="A54" s="126" t="s">
        <v>43</v>
      </c>
      <c r="B54" s="128" t="s">
        <v>14</v>
      </c>
      <c r="C54" s="128" t="s">
        <v>15</v>
      </c>
      <c r="D54" s="128" t="s">
        <v>16</v>
      </c>
      <c r="E54" s="130" t="s">
        <v>17</v>
      </c>
      <c r="F54" s="126" t="s">
        <v>43</v>
      </c>
      <c r="G54" s="132" t="s">
        <v>17</v>
      </c>
      <c r="H54" s="132" t="s">
        <v>29</v>
      </c>
      <c r="I54" s="133" t="s">
        <v>41</v>
      </c>
      <c r="J54" s="81" t="s">
        <v>42</v>
      </c>
      <c r="K54" s="134" t="s">
        <v>10</v>
      </c>
      <c r="L54" s="220" t="s">
        <v>18</v>
      </c>
      <c r="M54" s="222" t="s">
        <v>8</v>
      </c>
      <c r="N54" s="163" t="str">
        <f>"1. Sub6 NR Band : " &amp; VALUE(RIGHT(A7, LEN(A7)-1))</f>
        <v>1. Sub6 NR Band : 5</v>
      </c>
      <c r="O54" s="164"/>
      <c r="P54" s="164"/>
    </row>
    <row r="55" spans="1:16" ht="21.95" customHeight="1" x14ac:dyDescent="0.3">
      <c r="A55" s="127"/>
      <c r="B55" s="129"/>
      <c r="C55" s="129"/>
      <c r="D55" s="129"/>
      <c r="E55" s="131"/>
      <c r="F55" s="127"/>
      <c r="G55" s="78"/>
      <c r="H55" s="78"/>
      <c r="I55" s="80"/>
      <c r="J55" s="82"/>
      <c r="K55" s="135"/>
      <c r="L55" s="221"/>
      <c r="M55" s="223"/>
      <c r="N55" s="152" t="str">
        <f>"2. SCS : " &amp; H7 &amp; " kHz"</f>
        <v>2. SCS : 15 kHz</v>
      </c>
      <c r="O55" s="153"/>
      <c r="P55" s="153"/>
    </row>
    <row r="56" spans="1:16" ht="21.95" customHeight="1" x14ac:dyDescent="0.3">
      <c r="A56" s="140">
        <f>J7*2</f>
        <v>0</v>
      </c>
      <c r="B56" s="4"/>
      <c r="C56" s="4"/>
      <c r="D56" s="4"/>
      <c r="E56" s="13" t="s">
        <v>1</v>
      </c>
      <c r="F56" s="142">
        <f>$A$19</f>
        <v>0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-30</v>
      </c>
      <c r="J56" s="143" t="str">
        <f>IF(OR(I56-H56&gt;10,I56-H56=-30),"No Peak Found",I56-H56)</f>
        <v>No Peak Found</v>
      </c>
      <c r="K56" s="144" t="s">
        <v>9</v>
      </c>
      <c r="L56" s="216" t="str">
        <f>IF(OR(COUNTIF(B56:D57, "-")+COUNTBLANK(B56:D57)=6), "Pass", IF(H56 &gt; I56, "Fail", IF(J56 &lt; 3, "Margin 부족", "Pass")))</f>
        <v>Pass</v>
      </c>
      <c r="M56" s="214" t="s">
        <v>11</v>
      </c>
      <c r="N56" s="152" t="str">
        <f>"3. The test was performed the " &amp; I7 &amp; " antenna."</f>
        <v>3. The test was performed the  antenna.</v>
      </c>
      <c r="O56" s="153"/>
      <c r="P56" s="153"/>
    </row>
    <row r="57" spans="1:16" ht="21.95" customHeight="1" x14ac:dyDescent="0.3">
      <c r="A57" s="141"/>
      <c r="B57" s="4"/>
      <c r="C57" s="4"/>
      <c r="D57" s="4"/>
      <c r="E57" s="13" t="s">
        <v>0</v>
      </c>
      <c r="F57" s="142"/>
      <c r="G57" s="99"/>
      <c r="H57" s="101"/>
      <c r="I57" s="103"/>
      <c r="J57" s="143"/>
      <c r="K57" s="144"/>
      <c r="L57" s="217"/>
      <c r="M57" s="218"/>
      <c r="N57" s="152" t="str">
        <f>"4. " &amp; LEFT(A46, FIND(" ", A46 &amp; " ") - 1) &amp; " Mode Test."</f>
        <v>4. SA Mode Test.</v>
      </c>
      <c r="O57" s="154"/>
      <c r="P57" s="154"/>
    </row>
    <row r="58" spans="1:16" ht="21.95" customHeight="1" x14ac:dyDescent="0.3">
      <c r="A58" s="140">
        <f>J7*3</f>
        <v>0</v>
      </c>
      <c r="B58" s="4"/>
      <c r="C58" s="4"/>
      <c r="D58" s="4"/>
      <c r="E58" s="13" t="s">
        <v>1</v>
      </c>
      <c r="F58" s="148">
        <f>$A$21</f>
        <v>0</v>
      </c>
      <c r="G58" s="99" t="str">
        <f>IF(COUNT(B58:D58)=0, "H", IF(COUNT(B59:D59)=0, "V", IF(MAX(B58:D58) &gt;= MAX(B59:D59), "V", "H")))</f>
        <v>H</v>
      </c>
      <c r="H58" s="101">
        <f>MAX(B58:D59)</f>
        <v>0</v>
      </c>
      <c r="I58" s="149">
        <v>-30</v>
      </c>
      <c r="J58" s="143" t="str">
        <f t="shared" ref="J58" si="3">IF(OR(I58-H58&gt;10,I58-H58=-30),"No Peak Found",I58-H58)</f>
        <v>No Peak Found</v>
      </c>
      <c r="K58" s="150" t="s">
        <v>9</v>
      </c>
      <c r="L58" s="216" t="str">
        <f>IF(OR(COUNTIF(B58:D59, "-")+COUNTBLANK(B58:D59)=6), "Pass", IF(H58 &gt; I58, "Fail", IF(J58 &lt; 3, "Margin 부족", "Pass")))</f>
        <v>Pass</v>
      </c>
      <c r="M58" s="214" t="s">
        <v>11</v>
      </c>
    </row>
    <row r="59" spans="1:16" ht="21.95" customHeight="1" x14ac:dyDescent="0.3">
      <c r="A59" s="141"/>
      <c r="B59" s="4"/>
      <c r="C59" s="4"/>
      <c r="D59" s="4"/>
      <c r="E59" s="13" t="s">
        <v>0</v>
      </c>
      <c r="F59" s="148"/>
      <c r="G59" s="99"/>
      <c r="H59" s="101"/>
      <c r="I59" s="149"/>
      <c r="J59" s="143"/>
      <c r="K59" s="150"/>
      <c r="L59" s="217"/>
      <c r="M59" s="218"/>
    </row>
    <row r="60" spans="1:16" ht="21.95" customHeight="1" x14ac:dyDescent="0.3">
      <c r="A60" s="140">
        <f>J7*4</f>
        <v>0</v>
      </c>
      <c r="B60" s="4"/>
      <c r="C60" s="4"/>
      <c r="D60" s="4"/>
      <c r="E60" s="13" t="s">
        <v>1</v>
      </c>
      <c r="F60" s="142">
        <f>$A$23</f>
        <v>0</v>
      </c>
      <c r="G60" s="99" t="str">
        <f>IF(COUNT(B60:D60)=0, "H", IF(COUNT(B61:D61)=0, "V", IF(MAX(B60:D60) &gt;= MAX(B61:D61), "V", "H")))</f>
        <v>H</v>
      </c>
      <c r="H60" s="101">
        <f>MAX(B60:D61)</f>
        <v>0</v>
      </c>
      <c r="I60" s="149">
        <v>-30</v>
      </c>
      <c r="J60" s="143" t="str">
        <f t="shared" ref="J60" si="4">IF(OR(I60-H60&gt;10,I60-H60=-30),"No Peak Found",I60-H60)</f>
        <v>No Peak Found</v>
      </c>
      <c r="K60" s="171" t="s">
        <v>9</v>
      </c>
      <c r="L60" s="216" t="str">
        <f>IF(OR(COUNTIF(B60:D61, "-")+COUNTBLANK(B60:D61)=6), "Pass", IF(H60 &gt; I60, "Fail", IF(J60 &lt; 3, "Margin 부족", "Pass")))</f>
        <v>Pass</v>
      </c>
      <c r="M60" s="214" t="s">
        <v>11</v>
      </c>
    </row>
    <row r="61" spans="1:16" ht="21.95" customHeight="1" x14ac:dyDescent="0.3">
      <c r="A61" s="141"/>
      <c r="B61" s="4"/>
      <c r="C61" s="4"/>
      <c r="D61" s="4"/>
      <c r="E61" s="13" t="s">
        <v>0</v>
      </c>
      <c r="F61" s="142"/>
      <c r="G61" s="99"/>
      <c r="H61" s="101"/>
      <c r="I61" s="149"/>
      <c r="J61" s="143"/>
      <c r="K61" s="171"/>
      <c r="L61" s="217"/>
      <c r="M61" s="218"/>
    </row>
    <row r="62" spans="1:16" ht="21.95" customHeight="1" x14ac:dyDescent="0.3">
      <c r="A62" s="140">
        <f>J7*5</f>
        <v>0</v>
      </c>
      <c r="B62" s="4"/>
      <c r="C62" s="4"/>
      <c r="D62" s="4"/>
      <c r="E62" s="13" t="s">
        <v>1</v>
      </c>
      <c r="F62" s="148">
        <f>$A$25</f>
        <v>0</v>
      </c>
      <c r="G62" s="99" t="str">
        <f>IF(COUNT(B62:D62)=0, "H", IF(COUNT(B63:D63)=0, "V", IF(MAX(B62:D62) &gt;= MAX(B63:D63), "V", "H")))</f>
        <v>H</v>
      </c>
      <c r="H62" s="101">
        <f>MAX(B62:D63)</f>
        <v>0</v>
      </c>
      <c r="I62" s="149">
        <v>-30</v>
      </c>
      <c r="J62" s="143" t="str">
        <f t="shared" ref="J62" si="5">IF(OR(I62-H62&gt;10,I62-H62=-30),"No Peak Found",I62-H62)</f>
        <v>No Peak Found</v>
      </c>
      <c r="K62" s="171" t="s">
        <v>9</v>
      </c>
      <c r="L62" s="216" t="str">
        <f>IF(OR(COUNTIF(B62:D63, "-")+COUNTBLANK(B62:D63)=6), "Pass", IF(H62 &gt; I62, "Fail", IF(J62 &lt; 3, "Margin 부족", "Pass")))</f>
        <v>Pass</v>
      </c>
      <c r="M62" s="214" t="s">
        <v>11</v>
      </c>
    </row>
    <row r="63" spans="1:16" ht="21.95" customHeight="1" thickBot="1" x14ac:dyDescent="0.35">
      <c r="A63" s="165"/>
      <c r="B63" s="9"/>
      <c r="C63" s="9"/>
      <c r="D63" s="9"/>
      <c r="E63" s="14" t="s">
        <v>28</v>
      </c>
      <c r="F63" s="166"/>
      <c r="G63" s="167"/>
      <c r="H63" s="168"/>
      <c r="I63" s="169"/>
      <c r="J63" s="170"/>
      <c r="K63" s="172"/>
      <c r="L63" s="219"/>
      <c r="M63" s="215"/>
    </row>
    <row r="64" spans="1:16" ht="21.95" customHeight="1" x14ac:dyDescent="0.3">
      <c r="A64" s="155" t="s">
        <v>45</v>
      </c>
      <c r="B64" s="156"/>
      <c r="C64" s="156"/>
      <c r="D64" s="156"/>
      <c r="E64" s="157"/>
      <c r="F64" s="159" t="s">
        <v>51</v>
      </c>
      <c r="G64" s="159"/>
      <c r="H64" s="159"/>
      <c r="I64" s="159"/>
      <c r="J64" s="159"/>
      <c r="K64" s="159"/>
      <c r="L64" s="159"/>
      <c r="M64" s="160"/>
    </row>
    <row r="65" spans="1:13" ht="21.95" customHeight="1" x14ac:dyDescent="0.3">
      <c r="A65" s="158"/>
      <c r="B65" s="156"/>
      <c r="C65" s="156"/>
      <c r="D65" s="156"/>
      <c r="E65" s="157"/>
      <c r="F65" s="161"/>
      <c r="G65" s="161"/>
      <c r="H65" s="161"/>
      <c r="I65" s="161"/>
      <c r="J65" s="161"/>
      <c r="K65" s="161"/>
      <c r="L65" s="161"/>
      <c r="M65" s="162"/>
    </row>
    <row r="66" spans="1:13" ht="21.95" customHeight="1" thickBot="1" x14ac:dyDescent="0.35">
      <c r="A66" s="174" t="s">
        <v>6</v>
      </c>
      <c r="B66" s="175"/>
      <c r="C66" s="175"/>
      <c r="D66" s="175"/>
      <c r="E66" s="176"/>
      <c r="F66" s="177" t="s">
        <v>6</v>
      </c>
      <c r="G66" s="177"/>
      <c r="H66" s="177"/>
      <c r="I66" s="177"/>
      <c r="J66" s="177"/>
      <c r="K66" s="177"/>
      <c r="L66" s="177"/>
      <c r="M66" s="177"/>
    </row>
    <row r="67" spans="1:13" ht="21.95" customHeight="1" thickTop="1" x14ac:dyDescent="0.3">
      <c r="A67" s="71" t="s">
        <v>43</v>
      </c>
      <c r="B67" s="73" t="s">
        <v>14</v>
      </c>
      <c r="C67" s="73" t="s">
        <v>15</v>
      </c>
      <c r="D67" s="73" t="s">
        <v>16</v>
      </c>
      <c r="E67" s="75" t="s">
        <v>17</v>
      </c>
      <c r="F67" s="71" t="s">
        <v>43</v>
      </c>
      <c r="G67" s="77" t="s">
        <v>17</v>
      </c>
      <c r="H67" s="77" t="s">
        <v>29</v>
      </c>
      <c r="I67" s="79" t="s">
        <v>41</v>
      </c>
      <c r="J67" s="81" t="s">
        <v>42</v>
      </c>
      <c r="K67" s="187" t="s">
        <v>10</v>
      </c>
      <c r="L67" s="212" t="s">
        <v>18</v>
      </c>
      <c r="M67" s="206" t="s">
        <v>8</v>
      </c>
    </row>
    <row r="68" spans="1:13" ht="21.95" customHeight="1" x14ac:dyDescent="0.3">
      <c r="A68" s="72"/>
      <c r="B68" s="74"/>
      <c r="C68" s="74"/>
      <c r="D68" s="74"/>
      <c r="E68" s="76"/>
      <c r="F68" s="72"/>
      <c r="G68" s="78"/>
      <c r="H68" s="78"/>
      <c r="I68" s="80"/>
      <c r="J68" s="82"/>
      <c r="K68" s="188"/>
      <c r="L68" s="213"/>
      <c r="M68" s="207"/>
    </row>
    <row r="69" spans="1:13" ht="21.95" customHeight="1" x14ac:dyDescent="0.3">
      <c r="A69" s="189" t="s">
        <v>26</v>
      </c>
      <c r="B69" s="10"/>
      <c r="C69" s="1"/>
      <c r="D69" s="1"/>
      <c r="E69" s="11" t="s">
        <v>27</v>
      </c>
      <c r="F69" s="191" t="str">
        <f>A69</f>
        <v>Spurious</v>
      </c>
      <c r="G69" s="193" t="str">
        <f>IF(COUNT(B69:D69)=0, "H", IF(COUNT(B70:D70)=0, "V", IF(MAX(B69:D69) &gt;= MAX(B70:D70), "V", "H")))</f>
        <v>H</v>
      </c>
      <c r="H69" s="195">
        <f>MAX(B69:D70)</f>
        <v>0</v>
      </c>
      <c r="I69" s="197">
        <v>-57</v>
      </c>
      <c r="J69" s="178" t="str">
        <f>IF(OR(I69-H69&gt;10,I69-H69=-57),"No Peak Found",I69-H69)</f>
        <v>No Peak Found</v>
      </c>
      <c r="K69" s="180" t="s">
        <v>9</v>
      </c>
      <c r="L69" s="208" t="str">
        <f>IF(OR(COUNTIF(B69:D70, "-")+COUNTBLANK(B69:D70)=6), "Pass", IF(H69 &gt; I69, "Fail", IF(J69 &lt; 3, "Margin 부족", "Pass")))</f>
        <v>Pass</v>
      </c>
      <c r="M69" s="210" t="s">
        <v>12</v>
      </c>
    </row>
    <row r="70" spans="1:13" ht="21.95" customHeight="1" thickBot="1" x14ac:dyDescent="0.35">
      <c r="A70" s="190"/>
      <c r="B70" s="2"/>
      <c r="C70" s="2"/>
      <c r="D70" s="2"/>
      <c r="E70" s="12" t="s">
        <v>28</v>
      </c>
      <c r="F70" s="192"/>
      <c r="G70" s="194"/>
      <c r="H70" s="196"/>
      <c r="I70" s="198"/>
      <c r="J70" s="179"/>
      <c r="K70" s="181"/>
      <c r="L70" s="209"/>
      <c r="M70" s="211"/>
    </row>
    <row r="71" spans="1:13" ht="21.95" customHeight="1" thickBot="1" x14ac:dyDescent="0.35">
      <c r="A71" s="184" t="s">
        <v>33</v>
      </c>
      <c r="B71" s="185"/>
      <c r="C71" s="185"/>
      <c r="D71" s="185"/>
      <c r="E71" s="186"/>
      <c r="F71" s="70" t="s">
        <v>33</v>
      </c>
      <c r="G71" s="70"/>
      <c r="H71" s="70"/>
      <c r="I71" s="70"/>
      <c r="J71" s="70"/>
      <c r="K71" s="70"/>
      <c r="L71" s="70"/>
      <c r="M71" s="70"/>
    </row>
    <row r="72" spans="1:13" ht="21.95" customHeight="1" thickTop="1" x14ac:dyDescent="0.3">
      <c r="A72" s="71" t="s">
        <v>43</v>
      </c>
      <c r="B72" s="73" t="s">
        <v>14</v>
      </c>
      <c r="C72" s="73" t="s">
        <v>15</v>
      </c>
      <c r="D72" s="73" t="s">
        <v>16</v>
      </c>
      <c r="E72" s="75" t="s">
        <v>17</v>
      </c>
      <c r="F72" s="71" t="s">
        <v>43</v>
      </c>
      <c r="G72" s="77" t="s">
        <v>17</v>
      </c>
      <c r="H72" s="77" t="s">
        <v>29</v>
      </c>
      <c r="I72" s="79" t="s">
        <v>41</v>
      </c>
      <c r="J72" s="81" t="s">
        <v>42</v>
      </c>
      <c r="K72" s="187" t="s">
        <v>10</v>
      </c>
      <c r="L72" s="212" t="s">
        <v>18</v>
      </c>
      <c r="M72" s="206" t="s">
        <v>8</v>
      </c>
    </row>
    <row r="73" spans="1:13" ht="21.95" customHeight="1" x14ac:dyDescent="0.3">
      <c r="A73" s="72"/>
      <c r="B73" s="74"/>
      <c r="C73" s="74"/>
      <c r="D73" s="74"/>
      <c r="E73" s="76"/>
      <c r="F73" s="72"/>
      <c r="G73" s="78"/>
      <c r="H73" s="78"/>
      <c r="I73" s="80"/>
      <c r="J73" s="82"/>
      <c r="K73" s="188"/>
      <c r="L73" s="213"/>
      <c r="M73" s="207"/>
    </row>
    <row r="74" spans="1:13" ht="21.95" customHeight="1" x14ac:dyDescent="0.3">
      <c r="A74" s="189" t="s">
        <v>26</v>
      </c>
      <c r="B74" s="10"/>
      <c r="C74" s="1"/>
      <c r="D74" s="1"/>
      <c r="E74" s="11" t="s">
        <v>27</v>
      </c>
      <c r="F74" s="191" t="str">
        <f>A74</f>
        <v>Spurious</v>
      </c>
      <c r="G74" s="193" t="str">
        <f>IF(COUNT(B74:D74)=0, "H", IF(COUNT(B75:D75)=0, "V", IF(MAX(B74:D74) &gt;= MAX(B75:D75), "V", "H")))</f>
        <v>H</v>
      </c>
      <c r="H74" s="195">
        <f>MAX(B74:D75)</f>
        <v>0</v>
      </c>
      <c r="I74" s="197">
        <v>-47</v>
      </c>
      <c r="J74" s="178" t="str">
        <f>IF(OR(I74-H74&gt;10,I74-H74=-47),"No Peak Found",I74-H74)</f>
        <v>No Peak Found</v>
      </c>
      <c r="K74" s="180" t="s">
        <v>9</v>
      </c>
      <c r="L74" s="208" t="str">
        <f>IF(OR(COUNTIF(B74:D75, "-")+COUNTBLANK(B74:D75)=6), "Pass", IF(H74 &gt; I74, "Fail", IF(J74 &lt; 3, "Margin 부족", "Pass")))</f>
        <v>Pass</v>
      </c>
      <c r="M74" s="210" t="s">
        <v>12</v>
      </c>
    </row>
    <row r="75" spans="1:13" ht="21.95" customHeight="1" thickBot="1" x14ac:dyDescent="0.35">
      <c r="A75" s="190"/>
      <c r="B75" s="2"/>
      <c r="C75" s="2"/>
      <c r="D75" s="2"/>
      <c r="E75" s="12" t="s">
        <v>28</v>
      </c>
      <c r="F75" s="192"/>
      <c r="G75" s="194"/>
      <c r="H75" s="196"/>
      <c r="I75" s="198"/>
      <c r="J75" s="179"/>
      <c r="K75" s="181"/>
      <c r="L75" s="209"/>
      <c r="M75" s="211"/>
    </row>
  </sheetData>
  <mergeCells count="309">
    <mergeCell ref="H44:H45"/>
    <mergeCell ref="I44:I45"/>
    <mergeCell ref="J44:M45"/>
    <mergeCell ref="A40:M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M43"/>
    <mergeCell ref="A44:A45"/>
    <mergeCell ref="B44:B45"/>
    <mergeCell ref="C44:C45"/>
    <mergeCell ref="D44:D45"/>
    <mergeCell ref="E44:E45"/>
    <mergeCell ref="F44:F45"/>
    <mergeCell ref="G44:G45"/>
    <mergeCell ref="B1:D1"/>
    <mergeCell ref="E1:F2"/>
    <mergeCell ref="G1:M1"/>
    <mergeCell ref="B2:D2"/>
    <mergeCell ref="G2:M2"/>
    <mergeCell ref="A3:M4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K21:K22"/>
    <mergeCell ref="L21:L22"/>
    <mergeCell ref="M21:M22"/>
    <mergeCell ref="A23:A24"/>
    <mergeCell ref="F23:F24"/>
    <mergeCell ref="G23:G24"/>
    <mergeCell ref="H23:H24"/>
    <mergeCell ref="I23:I24"/>
    <mergeCell ref="J23:J24"/>
    <mergeCell ref="K23:K24"/>
    <mergeCell ref="A21:A22"/>
    <mergeCell ref="F21:F22"/>
    <mergeCell ref="G21:G22"/>
    <mergeCell ref="H21:H22"/>
    <mergeCell ref="I21:I22"/>
    <mergeCell ref="J21:J22"/>
    <mergeCell ref="K25:K26"/>
    <mergeCell ref="L25:L26"/>
    <mergeCell ref="M25:M26"/>
    <mergeCell ref="N25:P25"/>
    <mergeCell ref="N26:P26"/>
    <mergeCell ref="A27:E28"/>
    <mergeCell ref="F27:M28"/>
    <mergeCell ref="L23:L24"/>
    <mergeCell ref="M23:M24"/>
    <mergeCell ref="N23:P23"/>
    <mergeCell ref="N24:P24"/>
    <mergeCell ref="A25:A26"/>
    <mergeCell ref="F25:F26"/>
    <mergeCell ref="G25:G26"/>
    <mergeCell ref="H25:H26"/>
    <mergeCell ref="I25:I26"/>
    <mergeCell ref="J25:J26"/>
    <mergeCell ref="A29:E29"/>
    <mergeCell ref="F29:M29"/>
    <mergeCell ref="A30:A31"/>
    <mergeCell ref="B30:B31"/>
    <mergeCell ref="C30:C31"/>
    <mergeCell ref="D30:D31"/>
    <mergeCell ref="E30:E31"/>
    <mergeCell ref="F30:F31"/>
    <mergeCell ref="G30:G31"/>
    <mergeCell ref="H30:H31"/>
    <mergeCell ref="J32:J33"/>
    <mergeCell ref="K32:K33"/>
    <mergeCell ref="L32:L33"/>
    <mergeCell ref="M32:M33"/>
    <mergeCell ref="A34:E34"/>
    <mergeCell ref="F34:M34"/>
    <mergeCell ref="I30:I31"/>
    <mergeCell ref="J30:J31"/>
    <mergeCell ref="K30:K31"/>
    <mergeCell ref="L30:L31"/>
    <mergeCell ref="M30:M31"/>
    <mergeCell ref="A32:A33"/>
    <mergeCell ref="F32:F33"/>
    <mergeCell ref="G32:G33"/>
    <mergeCell ref="H32:H33"/>
    <mergeCell ref="I32:I33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A46:E47"/>
    <mergeCell ref="F46:M47"/>
    <mergeCell ref="A48:E48"/>
    <mergeCell ref="F48:M48"/>
    <mergeCell ref="A49:A50"/>
    <mergeCell ref="B49:B50"/>
    <mergeCell ref="C49:C50"/>
    <mergeCell ref="D49:D50"/>
    <mergeCell ref="E49:E50"/>
    <mergeCell ref="F49:F50"/>
    <mergeCell ref="M49:M50"/>
    <mergeCell ref="G49:G50"/>
    <mergeCell ref="H49:H50"/>
    <mergeCell ref="I49:I50"/>
    <mergeCell ref="J49:J50"/>
    <mergeCell ref="K49:K50"/>
    <mergeCell ref="L49:L50"/>
    <mergeCell ref="A51:A52"/>
    <mergeCell ref="F51:F52"/>
    <mergeCell ref="G51:G52"/>
    <mergeCell ref="H51:H52"/>
    <mergeCell ref="I51:I52"/>
    <mergeCell ref="J51:J52"/>
    <mergeCell ref="K51:K52"/>
    <mergeCell ref="L51:L52"/>
    <mergeCell ref="M51:M52"/>
    <mergeCell ref="A53:E53"/>
    <mergeCell ref="F53:M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A56:A57"/>
    <mergeCell ref="F56:F57"/>
    <mergeCell ref="G56:G57"/>
    <mergeCell ref="H56:H57"/>
    <mergeCell ref="I56:I57"/>
    <mergeCell ref="J56:J57"/>
    <mergeCell ref="K56:K57"/>
    <mergeCell ref="L56:L57"/>
    <mergeCell ref="M56:M57"/>
    <mergeCell ref="A58:A59"/>
    <mergeCell ref="F58:F59"/>
    <mergeCell ref="G58:G59"/>
    <mergeCell ref="H58:H59"/>
    <mergeCell ref="I58:I59"/>
    <mergeCell ref="J58:J59"/>
    <mergeCell ref="K58:K59"/>
    <mergeCell ref="L58:L59"/>
    <mergeCell ref="M58:M59"/>
    <mergeCell ref="M62:M63"/>
    <mergeCell ref="N56:P56"/>
    <mergeCell ref="N57:P57"/>
    <mergeCell ref="A64:E65"/>
    <mergeCell ref="F64:M65"/>
    <mergeCell ref="L60:L61"/>
    <mergeCell ref="M60:M61"/>
    <mergeCell ref="N54:P54"/>
    <mergeCell ref="N55:P55"/>
    <mergeCell ref="A62:A63"/>
    <mergeCell ref="F62:F63"/>
    <mergeCell ref="G62:G63"/>
    <mergeCell ref="H62:H63"/>
    <mergeCell ref="I62:I63"/>
    <mergeCell ref="J62:J63"/>
    <mergeCell ref="A60:A61"/>
    <mergeCell ref="F60:F61"/>
    <mergeCell ref="G60:G61"/>
    <mergeCell ref="H60:H61"/>
    <mergeCell ref="I60:I61"/>
    <mergeCell ref="J60:J61"/>
    <mergeCell ref="K60:K61"/>
    <mergeCell ref="K62:K63"/>
    <mergeCell ref="L62:L63"/>
    <mergeCell ref="A66:E66"/>
    <mergeCell ref="F66:M66"/>
    <mergeCell ref="A67:A68"/>
    <mergeCell ref="B67:B68"/>
    <mergeCell ref="C67:C68"/>
    <mergeCell ref="D67:D68"/>
    <mergeCell ref="E67:E68"/>
    <mergeCell ref="F67:F68"/>
    <mergeCell ref="G67:G68"/>
    <mergeCell ref="H67:H68"/>
    <mergeCell ref="J69:J70"/>
    <mergeCell ref="K69:K70"/>
    <mergeCell ref="L69:L70"/>
    <mergeCell ref="M69:M70"/>
    <mergeCell ref="A71:E71"/>
    <mergeCell ref="F71:M71"/>
    <mergeCell ref="I67:I68"/>
    <mergeCell ref="J67:J68"/>
    <mergeCell ref="K67:K68"/>
    <mergeCell ref="L67:L68"/>
    <mergeCell ref="M67:M68"/>
    <mergeCell ref="A69:A70"/>
    <mergeCell ref="F69:F70"/>
    <mergeCell ref="G69:G70"/>
    <mergeCell ref="H69:H70"/>
    <mergeCell ref="I69:I70"/>
    <mergeCell ref="M72:M73"/>
    <mergeCell ref="A74:A75"/>
    <mergeCell ref="F74:F75"/>
    <mergeCell ref="G74:G75"/>
    <mergeCell ref="H74:H75"/>
    <mergeCell ref="I74:I75"/>
    <mergeCell ref="J74:J75"/>
    <mergeCell ref="K74:K75"/>
    <mergeCell ref="L74:L75"/>
    <mergeCell ref="M74:M75"/>
    <mergeCell ref="G72:G73"/>
    <mergeCell ref="H72:H73"/>
    <mergeCell ref="I72:I73"/>
    <mergeCell ref="J72:J73"/>
    <mergeCell ref="K72:K73"/>
    <mergeCell ref="L72:L73"/>
    <mergeCell ref="A72:A73"/>
    <mergeCell ref="B72:B73"/>
    <mergeCell ref="C72:C73"/>
    <mergeCell ref="D72:D73"/>
    <mergeCell ref="E72:E73"/>
    <mergeCell ref="F72:F73"/>
  </mergeCells>
  <phoneticPr fontId="1" type="noConversion"/>
  <conditionalFormatting sqref="J14">
    <cfRule type="cellIs" dxfId="635" priority="44" operator="lessThan">
      <formula>10</formula>
    </cfRule>
  </conditionalFormatting>
  <conditionalFormatting sqref="J14">
    <cfRule type="cellIs" dxfId="634" priority="43" operator="equal">
      <formula>-36</formula>
    </cfRule>
  </conditionalFormatting>
  <conditionalFormatting sqref="L14">
    <cfRule type="cellIs" dxfId="633" priority="42" operator="equal">
      <formula>"Fail"</formula>
    </cfRule>
  </conditionalFormatting>
  <conditionalFormatting sqref="J19">
    <cfRule type="cellIs" dxfId="632" priority="40" operator="equal">
      <formula>-30</formula>
    </cfRule>
    <cfRule type="cellIs" dxfId="631" priority="41" operator="lessThan">
      <formula>10</formula>
    </cfRule>
  </conditionalFormatting>
  <conditionalFormatting sqref="L19">
    <cfRule type="cellIs" dxfId="630" priority="39" operator="equal">
      <formula>"Fail"</formula>
    </cfRule>
  </conditionalFormatting>
  <conditionalFormatting sqref="L21">
    <cfRule type="cellIs" dxfId="629" priority="38" operator="equal">
      <formula>"Fail"</formula>
    </cfRule>
  </conditionalFormatting>
  <conditionalFormatting sqref="L23">
    <cfRule type="cellIs" dxfId="628" priority="37" operator="equal">
      <formula>"Fail"</formula>
    </cfRule>
  </conditionalFormatting>
  <conditionalFormatting sqref="L25">
    <cfRule type="cellIs" dxfId="627" priority="36" operator="equal">
      <formula>"Fail"</formula>
    </cfRule>
  </conditionalFormatting>
  <conditionalFormatting sqref="V28">
    <cfRule type="cellIs" dxfId="626" priority="35" operator="equal">
      <formula>"Fail"</formula>
    </cfRule>
  </conditionalFormatting>
  <conditionalFormatting sqref="L14:L15 L19:L26">
    <cfRule type="cellIs" dxfId="625" priority="34" operator="equal">
      <formula>"Pass"</formula>
    </cfRule>
  </conditionalFormatting>
  <conditionalFormatting sqref="L32">
    <cfRule type="cellIs" dxfId="624" priority="33" operator="equal">
      <formula>"Fail"</formula>
    </cfRule>
  </conditionalFormatting>
  <conditionalFormatting sqref="L32:L33">
    <cfRule type="cellIs" dxfId="623" priority="32" operator="equal">
      <formula>"Pass"</formula>
    </cfRule>
  </conditionalFormatting>
  <conditionalFormatting sqref="L37">
    <cfRule type="cellIs" dxfId="622" priority="31" operator="equal">
      <formula>"Fail"</formula>
    </cfRule>
  </conditionalFormatting>
  <conditionalFormatting sqref="L37:L38">
    <cfRule type="cellIs" dxfId="621" priority="30" operator="equal">
      <formula>"Pass"</formula>
    </cfRule>
  </conditionalFormatting>
  <conditionalFormatting sqref="B14:D15">
    <cfRule type="top10" dxfId="620" priority="29" rank="1"/>
  </conditionalFormatting>
  <conditionalFormatting sqref="B19:D20">
    <cfRule type="top10" dxfId="619" priority="28" rank="1"/>
  </conditionalFormatting>
  <conditionalFormatting sqref="B21:D22">
    <cfRule type="top10" dxfId="618" priority="27" rank="1"/>
  </conditionalFormatting>
  <conditionalFormatting sqref="B23:D24">
    <cfRule type="top10" dxfId="617" priority="26" rank="1"/>
  </conditionalFormatting>
  <conditionalFormatting sqref="B25:D26">
    <cfRule type="top10" dxfId="616" priority="25" rank="1"/>
  </conditionalFormatting>
  <conditionalFormatting sqref="J21 J23 J25">
    <cfRule type="cellIs" dxfId="615" priority="23" operator="equal">
      <formula>-30</formula>
    </cfRule>
    <cfRule type="cellIs" dxfId="614" priority="24" operator="lessThan">
      <formula>10</formula>
    </cfRule>
  </conditionalFormatting>
  <conditionalFormatting sqref="J51">
    <cfRule type="cellIs" dxfId="613" priority="22" operator="lessThan">
      <formula>10</formula>
    </cfRule>
  </conditionalFormatting>
  <conditionalFormatting sqref="J51">
    <cfRule type="cellIs" dxfId="612" priority="21" operator="equal">
      <formula>-36</formula>
    </cfRule>
  </conditionalFormatting>
  <conditionalFormatting sqref="L51">
    <cfRule type="cellIs" dxfId="611" priority="20" operator="equal">
      <formula>"Fail"</formula>
    </cfRule>
  </conditionalFormatting>
  <conditionalFormatting sqref="J56">
    <cfRule type="cellIs" dxfId="610" priority="18" operator="equal">
      <formula>-30</formula>
    </cfRule>
    <cfRule type="cellIs" dxfId="609" priority="19" operator="lessThan">
      <formula>10</formula>
    </cfRule>
  </conditionalFormatting>
  <conditionalFormatting sqref="L56">
    <cfRule type="cellIs" dxfId="608" priority="17" operator="equal">
      <formula>"Fail"</formula>
    </cfRule>
  </conditionalFormatting>
  <conditionalFormatting sqref="L58">
    <cfRule type="cellIs" dxfId="607" priority="16" operator="equal">
      <formula>"Fail"</formula>
    </cfRule>
  </conditionalFormatting>
  <conditionalFormatting sqref="L60">
    <cfRule type="cellIs" dxfId="606" priority="15" operator="equal">
      <formula>"Fail"</formula>
    </cfRule>
  </conditionalFormatting>
  <conditionalFormatting sqref="L62">
    <cfRule type="cellIs" dxfId="605" priority="14" operator="equal">
      <formula>"Fail"</formula>
    </cfRule>
  </conditionalFormatting>
  <conditionalFormatting sqref="L51:L52 L56:L63">
    <cfRule type="cellIs" dxfId="604" priority="13" operator="equal">
      <formula>"Pass"</formula>
    </cfRule>
  </conditionalFormatting>
  <conditionalFormatting sqref="L69">
    <cfRule type="cellIs" dxfId="603" priority="12" operator="equal">
      <formula>"Fail"</formula>
    </cfRule>
  </conditionalFormatting>
  <conditionalFormatting sqref="L69:L70">
    <cfRule type="cellIs" dxfId="602" priority="11" operator="equal">
      <formula>"Pass"</formula>
    </cfRule>
  </conditionalFormatting>
  <conditionalFormatting sqref="L74">
    <cfRule type="cellIs" dxfId="601" priority="10" operator="equal">
      <formula>"Fail"</formula>
    </cfRule>
  </conditionalFormatting>
  <conditionalFormatting sqref="L74:L75">
    <cfRule type="cellIs" dxfId="600" priority="9" operator="equal">
      <formula>"Pass"</formula>
    </cfRule>
  </conditionalFormatting>
  <conditionalFormatting sqref="B51:D52">
    <cfRule type="top10" dxfId="599" priority="8" rank="1"/>
  </conditionalFormatting>
  <conditionalFormatting sqref="B56:D57">
    <cfRule type="top10" dxfId="598" priority="7" rank="1"/>
  </conditionalFormatting>
  <conditionalFormatting sqref="B58:D59">
    <cfRule type="top10" dxfId="597" priority="6" rank="1"/>
  </conditionalFormatting>
  <conditionalFormatting sqref="B60:D61">
    <cfRule type="top10" dxfId="596" priority="5" rank="1"/>
  </conditionalFormatting>
  <conditionalFormatting sqref="B62:D63">
    <cfRule type="top10" dxfId="595" priority="4" rank="1"/>
  </conditionalFormatting>
  <conditionalFormatting sqref="J58 J60 J62">
    <cfRule type="cellIs" dxfId="594" priority="2" operator="equal">
      <formula>-30</formula>
    </cfRule>
    <cfRule type="cellIs" dxfId="593" priority="3" operator="lessThan">
      <formula>10</formula>
    </cfRule>
  </conditionalFormatting>
  <conditionalFormatting sqref="B37:D38">
    <cfRule type="top10" dxfId="592" priority="1" rank="1"/>
  </conditionalFormatting>
  <dataValidations disablePrompts="1" count="1">
    <dataValidation type="list" allowBlank="1" showInputMessage="1" showErrorMessage="1" sqref="M14 M25 M19 M21 M23 M32:M33 M51 M62 M56 M58 M60 M74:M75 M69:M70 M37:M38" xr:uid="{CDA961AE-852F-4495-BB4E-49DA778E4ED9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7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3291-6140-4E6B-A886-117B80F92F89}">
  <dimension ref="A1:P85"/>
  <sheetViews>
    <sheetView view="pageBreakPreview" zoomScale="85" zoomScaleNormal="100" zoomScaleSheetLayoutView="85" workbookViewId="0">
      <selection activeCell="F51" sqref="F51:M52"/>
    </sheetView>
  </sheetViews>
  <sheetFormatPr defaultRowHeight="16.5" outlineLevelCol="1" x14ac:dyDescent="0.3"/>
  <cols>
    <col min="1" max="11" width="12.625" style="6" customWidth="1"/>
    <col min="12" max="13" width="12.625" style="6" hidden="1" customWidth="1" outlineLevel="1"/>
    <col min="14" max="14" width="12.625" style="6" customWidth="1" collapsed="1"/>
    <col min="15" max="16" width="12.625" style="6" customWidth="1"/>
    <col min="17" max="22" width="12.625" customWidth="1"/>
  </cols>
  <sheetData>
    <row r="1" spans="1:13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3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46</v>
      </c>
      <c r="H2" s="28"/>
      <c r="I2" s="28"/>
      <c r="J2" s="28"/>
      <c r="K2" s="28"/>
      <c r="L2" s="28"/>
      <c r="M2" s="29"/>
    </row>
    <row r="3" spans="1:13" ht="24.95" customHeight="1" x14ac:dyDescent="0.3">
      <c r="A3" s="30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3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3" ht="20.100000000000001" customHeight="1" x14ac:dyDescent="0.3">
      <c r="A7" s="62" t="s">
        <v>71</v>
      </c>
      <c r="B7" s="36"/>
      <c r="C7" s="64"/>
      <c r="D7" s="36"/>
      <c r="E7" s="36"/>
      <c r="F7" s="36"/>
      <c r="G7" s="36"/>
      <c r="H7" s="37">
        <v>15</v>
      </c>
      <c r="I7" s="37"/>
      <c r="J7" s="39"/>
      <c r="K7" s="40"/>
      <c r="L7" s="40"/>
      <c r="M7" s="41"/>
    </row>
    <row r="8" spans="1:13" ht="20.100000000000001" customHeight="1" thickBot="1" x14ac:dyDescent="0.35">
      <c r="A8" s="63"/>
      <c r="B8" s="37"/>
      <c r="C8" s="65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3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3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</row>
    <row r="11" spans="1:13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3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85" t="s">
        <v>18</v>
      </c>
      <c r="M12" s="87" t="s">
        <v>8</v>
      </c>
    </row>
    <row r="13" spans="1:13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86"/>
      <c r="M13" s="88"/>
    </row>
    <row r="14" spans="1:13" ht="21.95" customHeight="1" x14ac:dyDescent="0.3">
      <c r="A14" s="95" t="s">
        <v>26</v>
      </c>
      <c r="B14" s="3"/>
      <c r="C14" s="3"/>
      <c r="D14" s="3"/>
      <c r="E14" s="11" t="s">
        <v>27</v>
      </c>
      <c r="F14" s="97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91" t="str">
        <f>IF(OR(COUNTIF(B14:D15, "-")+COUNTBLANK(B14:D15)=6), "Pass", IF(H14 &gt; I14, "Fail", IF(J14 &lt; 3, "Margin 부족", "Pass")))</f>
        <v>Pass</v>
      </c>
      <c r="M14" s="93" t="s">
        <v>12</v>
      </c>
    </row>
    <row r="15" spans="1:13" ht="21.95" customHeight="1" thickBot="1" x14ac:dyDescent="0.35">
      <c r="A15" s="96"/>
      <c r="B15" s="7"/>
      <c r="C15" s="7"/>
      <c r="D15" s="7"/>
      <c r="E15" s="12" t="s">
        <v>28</v>
      </c>
      <c r="F15" s="98"/>
      <c r="G15" s="100"/>
      <c r="H15" s="102"/>
      <c r="I15" s="104"/>
      <c r="J15" s="106"/>
      <c r="K15" s="90"/>
      <c r="L15" s="92"/>
      <c r="M15" s="94"/>
    </row>
    <row r="16" spans="1:13" ht="21.95" customHeight="1" thickBot="1" x14ac:dyDescent="0.35">
      <c r="A16" s="107" t="s">
        <v>30</v>
      </c>
      <c r="B16" s="108"/>
      <c r="C16" s="108"/>
      <c r="D16" s="108"/>
      <c r="E16" s="109"/>
      <c r="F16" s="108" t="s">
        <v>30</v>
      </c>
      <c r="G16" s="108"/>
      <c r="H16" s="108"/>
      <c r="I16" s="108"/>
      <c r="J16" s="70"/>
      <c r="K16" s="108"/>
      <c r="L16" s="108"/>
      <c r="M16" s="108"/>
    </row>
    <row r="17" spans="1:16" ht="21.95" customHeight="1" thickTop="1" x14ac:dyDescent="0.3">
      <c r="A17" s="71" t="s">
        <v>43</v>
      </c>
      <c r="B17" s="73" t="s">
        <v>14</v>
      </c>
      <c r="C17" s="73" t="s">
        <v>15</v>
      </c>
      <c r="D17" s="73" t="s">
        <v>16</v>
      </c>
      <c r="E17" s="75" t="s">
        <v>17</v>
      </c>
      <c r="F17" s="71" t="s">
        <v>43</v>
      </c>
      <c r="G17" s="77" t="s">
        <v>17</v>
      </c>
      <c r="H17" s="77" t="s">
        <v>29</v>
      </c>
      <c r="I17" s="79" t="s">
        <v>41</v>
      </c>
      <c r="J17" s="81" t="s">
        <v>42</v>
      </c>
      <c r="K17" s="83" t="s">
        <v>10</v>
      </c>
      <c r="L17" s="85" t="s">
        <v>18</v>
      </c>
      <c r="M17" s="87" t="s">
        <v>8</v>
      </c>
    </row>
    <row r="18" spans="1:16" ht="21.95" customHeight="1" x14ac:dyDescent="0.3">
      <c r="A18" s="72"/>
      <c r="B18" s="74"/>
      <c r="C18" s="74"/>
      <c r="D18" s="74"/>
      <c r="E18" s="76"/>
      <c r="F18" s="72"/>
      <c r="G18" s="78"/>
      <c r="H18" s="78"/>
      <c r="I18" s="80"/>
      <c r="J18" s="82"/>
      <c r="K18" s="84"/>
      <c r="L18" s="86"/>
      <c r="M18" s="88"/>
    </row>
    <row r="19" spans="1:16" ht="21.95" customHeight="1" x14ac:dyDescent="0.3">
      <c r="A19" s="110" t="s">
        <v>26</v>
      </c>
      <c r="B19" s="3"/>
      <c r="C19" s="3"/>
      <c r="D19" s="3"/>
      <c r="E19" s="11" t="s">
        <v>27</v>
      </c>
      <c r="F19" s="112" t="str">
        <f>$A$19</f>
        <v>Spurious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05" t="str">
        <f>IF(OR(I19-H19&gt;10,I19-H19=-30),"No Peak Found",I19-H19)</f>
        <v>No Peak Found</v>
      </c>
      <c r="K19" s="89" t="s">
        <v>9</v>
      </c>
      <c r="L19" s="91" t="str">
        <f>IF(OR(COUNTIF(B19:D20, "-")+COUNTBLANK(B19:D20)=6), "Pass", IF(H19 &gt; I19, "Fail", IF(J19 &lt; 3, "Margin 부족", "Pass")))</f>
        <v>Pass</v>
      </c>
      <c r="M19" s="93" t="s">
        <v>12</v>
      </c>
    </row>
    <row r="20" spans="1:16" ht="21.95" customHeight="1" thickBot="1" x14ac:dyDescent="0.35">
      <c r="A20" s="111"/>
      <c r="B20" s="7"/>
      <c r="C20" s="7"/>
      <c r="D20" s="7"/>
      <c r="E20" s="12" t="s">
        <v>28</v>
      </c>
      <c r="F20" s="113"/>
      <c r="G20" s="114"/>
      <c r="H20" s="115"/>
      <c r="I20" s="116"/>
      <c r="J20" s="106"/>
      <c r="K20" s="117"/>
      <c r="L20" s="118"/>
      <c r="M20" s="119"/>
    </row>
    <row r="21" spans="1:16" ht="21.95" customHeight="1" thickBot="1" x14ac:dyDescent="0.35">
      <c r="A21" s="120" t="s">
        <v>31</v>
      </c>
      <c r="B21" s="121"/>
      <c r="C21" s="121"/>
      <c r="D21" s="121"/>
      <c r="E21" s="121"/>
      <c r="F21" s="122" t="s">
        <v>31</v>
      </c>
      <c r="G21" s="123"/>
      <c r="H21" s="123"/>
      <c r="I21" s="123"/>
      <c r="J21" s="70"/>
      <c r="K21" s="123"/>
      <c r="L21" s="124"/>
      <c r="M21" s="125"/>
    </row>
    <row r="22" spans="1:16" ht="21.95" customHeight="1" thickTop="1" x14ac:dyDescent="0.3">
      <c r="A22" s="126" t="s">
        <v>43</v>
      </c>
      <c r="B22" s="128" t="s">
        <v>14</v>
      </c>
      <c r="C22" s="128" t="s">
        <v>15</v>
      </c>
      <c r="D22" s="128" t="s">
        <v>16</v>
      </c>
      <c r="E22" s="130" t="s">
        <v>17</v>
      </c>
      <c r="F22" s="126" t="s">
        <v>43</v>
      </c>
      <c r="G22" s="132" t="s">
        <v>17</v>
      </c>
      <c r="H22" s="132" t="s">
        <v>29</v>
      </c>
      <c r="I22" s="133" t="s">
        <v>41</v>
      </c>
      <c r="J22" s="81" t="s">
        <v>42</v>
      </c>
      <c r="K22" s="134" t="s">
        <v>10</v>
      </c>
      <c r="L22" s="136" t="s">
        <v>18</v>
      </c>
      <c r="M22" s="138" t="s">
        <v>8</v>
      </c>
    </row>
    <row r="23" spans="1:16" ht="21.75" customHeight="1" x14ac:dyDescent="0.3">
      <c r="A23" s="127"/>
      <c r="B23" s="129"/>
      <c r="C23" s="129"/>
      <c r="D23" s="129"/>
      <c r="E23" s="131"/>
      <c r="F23" s="127"/>
      <c r="G23" s="78"/>
      <c r="H23" s="78"/>
      <c r="I23" s="80"/>
      <c r="J23" s="82"/>
      <c r="K23" s="135"/>
      <c r="L23" s="137"/>
      <c r="M23" s="139"/>
    </row>
    <row r="24" spans="1:16" ht="21.95" customHeight="1" x14ac:dyDescent="0.3">
      <c r="A24" s="140">
        <f>J7*2</f>
        <v>0</v>
      </c>
      <c r="B24" s="4"/>
      <c r="C24" s="4"/>
      <c r="D24" s="4"/>
      <c r="E24" s="13" t="s">
        <v>1</v>
      </c>
      <c r="F24" s="142">
        <f>$A$24</f>
        <v>0</v>
      </c>
      <c r="G24" s="99" t="str">
        <f>IF(COUNT(B24:D24)=0, "H", IF(COUNT(B25:D25)=0, "V", IF(MAX(B24:D24) &gt;= MAX(B25:D25), "V", "H")))</f>
        <v>H</v>
      </c>
      <c r="H24" s="101">
        <f>MAX(B24:D25)</f>
        <v>0</v>
      </c>
      <c r="I24" s="103">
        <v>-30</v>
      </c>
      <c r="J24" s="143" t="str">
        <f>IF(OR(I24-H24&gt;10,I24-H24=-30),"No Peak Found",I24-H24)</f>
        <v>No Peak Found</v>
      </c>
      <c r="K24" s="144" t="s">
        <v>9</v>
      </c>
      <c r="L24" s="117" t="str">
        <f>IF(OR(COUNTIF(B24:D25, "-")+COUNTBLANK(B24:D25)=6), "Pass", IF(H24 &gt; I24, "Fail", IF(J24 &lt; 3, "Margin 부족", "Pass")))</f>
        <v>Pass</v>
      </c>
      <c r="M24" s="146" t="s">
        <v>11</v>
      </c>
    </row>
    <row r="25" spans="1:16" ht="21.95" customHeight="1" x14ac:dyDescent="0.3">
      <c r="A25" s="141"/>
      <c r="B25" s="4"/>
      <c r="C25" s="4"/>
      <c r="D25" s="4"/>
      <c r="E25" s="13" t="s">
        <v>0</v>
      </c>
      <c r="F25" s="142"/>
      <c r="G25" s="99"/>
      <c r="H25" s="101"/>
      <c r="I25" s="103"/>
      <c r="J25" s="143"/>
      <c r="K25" s="144"/>
      <c r="L25" s="145"/>
      <c r="M25" s="147"/>
    </row>
    <row r="26" spans="1:16" ht="21.95" customHeight="1" x14ac:dyDescent="0.3">
      <c r="A26" s="140">
        <f>J7*3</f>
        <v>0</v>
      </c>
      <c r="B26" s="4"/>
      <c r="C26" s="4"/>
      <c r="D26" s="4"/>
      <c r="E26" s="13" t="s">
        <v>1</v>
      </c>
      <c r="F26" s="148">
        <f>$A$26</f>
        <v>0</v>
      </c>
      <c r="G26" s="99" t="str">
        <f>IF(COUNT(B26:D26)=0, "H", IF(COUNT(B27:D27)=0, "V", IF(MAX(B26:D26) &gt;= MAX(B27:D27), "V", "H")))</f>
        <v>H</v>
      </c>
      <c r="H26" s="101">
        <f>MAX(B26:D27)</f>
        <v>0</v>
      </c>
      <c r="I26" s="149">
        <v>-30</v>
      </c>
      <c r="J26" s="143" t="str">
        <f t="shared" ref="J26" si="0">IF(OR(I26-H26&gt;10,I26-H26=-30),"No Peak Found",I26-H26)</f>
        <v>No Peak Found</v>
      </c>
      <c r="K26" s="150" t="s">
        <v>9</v>
      </c>
      <c r="L26" s="117" t="str">
        <f>IF(OR(COUNTIF(B26:D27, "-")+COUNTBLANK(B26:D27)=6), "Pass", IF(H26 &gt; I26, "Fail", IF(J26 &lt; 3, "Margin 부족", "Pass")))</f>
        <v>Pass</v>
      </c>
      <c r="M26" s="146" t="s">
        <v>11</v>
      </c>
    </row>
    <row r="27" spans="1:16" ht="21.95" customHeight="1" x14ac:dyDescent="0.3">
      <c r="A27" s="141"/>
      <c r="B27" s="4"/>
      <c r="C27" s="4"/>
      <c r="D27" s="4"/>
      <c r="E27" s="13" t="s">
        <v>0</v>
      </c>
      <c r="F27" s="148"/>
      <c r="G27" s="99"/>
      <c r="H27" s="101"/>
      <c r="I27" s="149"/>
      <c r="J27" s="143"/>
      <c r="K27" s="150"/>
      <c r="L27" s="145"/>
      <c r="M27" s="147"/>
      <c r="N27" s="8" t="s">
        <v>8</v>
      </c>
    </row>
    <row r="28" spans="1:16" ht="21.95" customHeight="1" x14ac:dyDescent="0.3">
      <c r="A28" s="140">
        <f>J7*4</f>
        <v>0</v>
      </c>
      <c r="B28" s="4"/>
      <c r="C28" s="4"/>
      <c r="D28" s="4"/>
      <c r="E28" s="13" t="s">
        <v>1</v>
      </c>
      <c r="F28" s="142">
        <f>$A$28</f>
        <v>0</v>
      </c>
      <c r="G28" s="99" t="str">
        <f>IF(COUNT(B28:D28)=0, "H", IF(COUNT(B29:D29)=0, "V", IF(MAX(B28:D28) &gt;= MAX(B29:D29), "V", "H")))</f>
        <v>H</v>
      </c>
      <c r="H28" s="101">
        <f>MAX(B28:D29)</f>
        <v>0</v>
      </c>
      <c r="I28" s="149">
        <v>-30</v>
      </c>
      <c r="J28" s="143" t="str">
        <f t="shared" ref="J28" si="1">IF(OR(I28-H28&gt;10,I28-H28=-30),"No Peak Found",I28-H28)</f>
        <v>No Peak Found</v>
      </c>
      <c r="K28" s="171" t="s">
        <v>9</v>
      </c>
      <c r="L28" s="117" t="str">
        <f>IF(OR(COUNTIF(B28:D29, "-")+COUNTBLANK(B28:D29)=6), "Pass", IF(H28 &gt; I28, "Fail", IF(J28 &lt; 3, "Margin 부족", "Pass")))</f>
        <v>Pass</v>
      </c>
      <c r="M28" s="146" t="s">
        <v>11</v>
      </c>
      <c r="N28" s="163" t="str">
        <f>"1. Sub6 NR Band : " &amp; VALUE(RIGHT(A7, LEN(A7)-1))</f>
        <v>1. Sub6 NR Band : 7</v>
      </c>
      <c r="O28" s="164"/>
      <c r="P28" s="164"/>
    </row>
    <row r="29" spans="1:16" ht="21.95" customHeight="1" x14ac:dyDescent="0.3">
      <c r="A29" s="141"/>
      <c r="B29" s="4"/>
      <c r="C29" s="4"/>
      <c r="D29" s="4"/>
      <c r="E29" s="13" t="s">
        <v>0</v>
      </c>
      <c r="F29" s="142"/>
      <c r="G29" s="99"/>
      <c r="H29" s="101"/>
      <c r="I29" s="149"/>
      <c r="J29" s="143"/>
      <c r="K29" s="171"/>
      <c r="L29" s="145"/>
      <c r="M29" s="147"/>
      <c r="N29" s="152" t="str">
        <f>"2. SCS : " &amp; H7 &amp; " kHz"</f>
        <v>2. SCS : 15 kHz</v>
      </c>
      <c r="O29" s="153"/>
      <c r="P29" s="153"/>
    </row>
    <row r="30" spans="1:16" ht="21.95" customHeight="1" x14ac:dyDescent="0.3">
      <c r="A30" s="140">
        <f>J7*5</f>
        <v>0</v>
      </c>
      <c r="B30" s="4"/>
      <c r="C30" s="4"/>
      <c r="D30" s="4"/>
      <c r="E30" s="13" t="s">
        <v>1</v>
      </c>
      <c r="F30" s="148">
        <f>$A$30</f>
        <v>0</v>
      </c>
      <c r="G30" s="99" t="str">
        <f>IF(COUNT(B30:D30)=0, "H", IF(COUNT(B31:D31)=0, "V", IF(MAX(B30:D30) &gt;= MAX(B31:D31), "V", "H")))</f>
        <v>H</v>
      </c>
      <c r="H30" s="101">
        <f>MAX(B30:D31)</f>
        <v>0</v>
      </c>
      <c r="I30" s="149">
        <v>-30</v>
      </c>
      <c r="J30" s="143" t="str">
        <f t="shared" ref="J30" si="2">IF(OR(I30-H30&gt;10,I30-H30=-30),"No Peak Found",I30-H30)</f>
        <v>No Peak Found</v>
      </c>
      <c r="K30" s="171" t="s">
        <v>9</v>
      </c>
      <c r="L30" s="117" t="str">
        <f>IF(OR(COUNTIF(B30:D31, "-")+COUNTBLANK(B30:D31)=6), "Pass", IF(H30 &gt; I30, "Fail", IF(J30 &lt; 3, "Margin 부족", "Pass")))</f>
        <v>Pass</v>
      </c>
      <c r="M30" s="146" t="s">
        <v>11</v>
      </c>
      <c r="N30" s="152" t="str">
        <f>"3. The test was performed the " &amp; I7 &amp; " antenna."</f>
        <v>3. The test was performed the  antenna.</v>
      </c>
      <c r="O30" s="153"/>
      <c r="P30" s="153"/>
    </row>
    <row r="31" spans="1:16" ht="21.95" customHeight="1" thickBot="1" x14ac:dyDescent="0.35">
      <c r="A31" s="165"/>
      <c r="B31" s="9"/>
      <c r="C31" s="9"/>
      <c r="D31" s="9"/>
      <c r="E31" s="14" t="s">
        <v>28</v>
      </c>
      <c r="F31" s="166"/>
      <c r="G31" s="167"/>
      <c r="H31" s="168"/>
      <c r="I31" s="169"/>
      <c r="J31" s="170"/>
      <c r="K31" s="172"/>
      <c r="L31" s="173"/>
      <c r="M31" s="151"/>
      <c r="N31" s="152" t="str">
        <f>"4. " &amp; LEFT(A9, FIND(" ", A9 &amp; " ") - 1) &amp; " Mode Test."</f>
        <v>4. NSA Mode Test.</v>
      </c>
      <c r="O31" s="154"/>
      <c r="P31" s="154"/>
    </row>
    <row r="32" spans="1:16" ht="24.95" customHeight="1" x14ac:dyDescent="0.3">
      <c r="A32" s="155" t="s">
        <v>32</v>
      </c>
      <c r="B32" s="156"/>
      <c r="C32" s="156"/>
      <c r="D32" s="156"/>
      <c r="E32" s="157"/>
      <c r="F32" s="159" t="s">
        <v>49</v>
      </c>
      <c r="G32" s="159"/>
      <c r="H32" s="159"/>
      <c r="I32" s="159"/>
      <c r="J32" s="159"/>
      <c r="K32" s="159"/>
      <c r="L32" s="159"/>
      <c r="M32" s="160"/>
    </row>
    <row r="33" spans="1:13" ht="24.95" customHeight="1" x14ac:dyDescent="0.3">
      <c r="A33" s="158"/>
      <c r="B33" s="156"/>
      <c r="C33" s="156"/>
      <c r="D33" s="156"/>
      <c r="E33" s="157"/>
      <c r="F33" s="161"/>
      <c r="G33" s="161"/>
      <c r="H33" s="161"/>
      <c r="I33" s="161"/>
      <c r="J33" s="161"/>
      <c r="K33" s="161"/>
      <c r="L33" s="161"/>
      <c r="M33" s="162"/>
    </row>
    <row r="34" spans="1:13" ht="21.95" customHeight="1" thickBot="1" x14ac:dyDescent="0.35">
      <c r="A34" s="174" t="s">
        <v>6</v>
      </c>
      <c r="B34" s="175"/>
      <c r="C34" s="175"/>
      <c r="D34" s="175"/>
      <c r="E34" s="176"/>
      <c r="F34" s="177" t="s">
        <v>6</v>
      </c>
      <c r="G34" s="177"/>
      <c r="H34" s="177"/>
      <c r="I34" s="177"/>
      <c r="J34" s="177"/>
      <c r="K34" s="177"/>
      <c r="L34" s="177"/>
      <c r="M34" s="177"/>
    </row>
    <row r="35" spans="1:13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85" t="s">
        <v>18</v>
      </c>
      <c r="M35" s="87" t="s">
        <v>8</v>
      </c>
    </row>
    <row r="36" spans="1:13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86"/>
      <c r="M36" s="88"/>
    </row>
    <row r="37" spans="1:13" ht="21.95" customHeight="1" x14ac:dyDescent="0.3">
      <c r="A37" s="189" t="s">
        <v>26</v>
      </c>
      <c r="B37" s="10"/>
      <c r="C37" s="1"/>
      <c r="D37" s="1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-57</v>
      </c>
      <c r="J37" s="178" t="str">
        <f>IF(OR(I37-H37&gt;10,I37-H37=-57),"No Peak Found",I37-H37)</f>
        <v>No Peak Found</v>
      </c>
      <c r="K37" s="180" t="s">
        <v>9</v>
      </c>
      <c r="L37" s="91" t="str">
        <f>IF(OR(COUNTIF(B37:D38, "-")+COUNTBLANK(B37:D38)=6), "Pass", IF(H37 &gt; I37, "Fail", IF(J37 &lt; 3, "Margin 부족", "Pass")))</f>
        <v>Pass</v>
      </c>
      <c r="M37" s="182" t="s">
        <v>12</v>
      </c>
    </row>
    <row r="38" spans="1:13" ht="21.95" customHeight="1" thickBot="1" x14ac:dyDescent="0.35">
      <c r="A38" s="190"/>
      <c r="B38" s="2"/>
      <c r="C38" s="2"/>
      <c r="D38" s="2"/>
      <c r="E38" s="12" t="s">
        <v>28</v>
      </c>
      <c r="F38" s="192"/>
      <c r="G38" s="194"/>
      <c r="H38" s="196"/>
      <c r="I38" s="198"/>
      <c r="J38" s="179"/>
      <c r="K38" s="181"/>
      <c r="L38" s="92"/>
      <c r="M38" s="183"/>
    </row>
    <row r="39" spans="1:13" ht="21.95" customHeight="1" thickBot="1" x14ac:dyDescent="0.35">
      <c r="A39" s="184" t="s">
        <v>33</v>
      </c>
      <c r="B39" s="185"/>
      <c r="C39" s="185"/>
      <c r="D39" s="185"/>
      <c r="E39" s="186"/>
      <c r="F39" s="70" t="s">
        <v>33</v>
      </c>
      <c r="G39" s="70"/>
      <c r="H39" s="70"/>
      <c r="I39" s="70"/>
      <c r="J39" s="70"/>
      <c r="K39" s="70"/>
      <c r="L39" s="70"/>
      <c r="M39" s="70"/>
    </row>
    <row r="40" spans="1:13" ht="21.95" customHeight="1" thickTop="1" x14ac:dyDescent="0.3">
      <c r="A40" s="71" t="s">
        <v>43</v>
      </c>
      <c r="B40" s="73" t="s">
        <v>14</v>
      </c>
      <c r="C40" s="73" t="s">
        <v>15</v>
      </c>
      <c r="D40" s="73" t="s">
        <v>16</v>
      </c>
      <c r="E40" s="75" t="s">
        <v>17</v>
      </c>
      <c r="F40" s="71" t="s">
        <v>43</v>
      </c>
      <c r="G40" s="77" t="s">
        <v>17</v>
      </c>
      <c r="H40" s="77" t="s">
        <v>29</v>
      </c>
      <c r="I40" s="79" t="s">
        <v>41</v>
      </c>
      <c r="J40" s="81" t="s">
        <v>42</v>
      </c>
      <c r="K40" s="187" t="s">
        <v>10</v>
      </c>
      <c r="L40" s="85" t="s">
        <v>18</v>
      </c>
      <c r="M40" s="87" t="s">
        <v>8</v>
      </c>
    </row>
    <row r="41" spans="1:13" ht="21.95" customHeight="1" x14ac:dyDescent="0.3">
      <c r="A41" s="72"/>
      <c r="B41" s="74"/>
      <c r="C41" s="74"/>
      <c r="D41" s="74"/>
      <c r="E41" s="76"/>
      <c r="F41" s="72"/>
      <c r="G41" s="78"/>
      <c r="H41" s="78"/>
      <c r="I41" s="80"/>
      <c r="J41" s="82"/>
      <c r="K41" s="188"/>
      <c r="L41" s="86"/>
      <c r="M41" s="88"/>
    </row>
    <row r="42" spans="1:13" ht="21.95" customHeight="1" x14ac:dyDescent="0.3">
      <c r="A42" s="189" t="s">
        <v>26</v>
      </c>
      <c r="B42" s="10"/>
      <c r="C42" s="1"/>
      <c r="D42" s="1"/>
      <c r="E42" s="11" t="s">
        <v>27</v>
      </c>
      <c r="F42" s="191" t="str">
        <f>A42</f>
        <v>Spurious</v>
      </c>
      <c r="G42" s="193" t="str">
        <f>IF(COUNT(B42:D42)=0, "H", IF(COUNT(B43:D43)=0, "V", IF(MAX(B42:D42) &gt;= MAX(B43:D43), "V", "H")))</f>
        <v>H</v>
      </c>
      <c r="H42" s="195">
        <f>MAX(B42:D43)</f>
        <v>0</v>
      </c>
      <c r="I42" s="197">
        <v>-47</v>
      </c>
      <c r="J42" s="178" t="str">
        <f>IF(OR(I42-H42&gt;10,I42-H42=-47),"No Peak Found",I42-H42)</f>
        <v>No Peak Found</v>
      </c>
      <c r="K42" s="180" t="s">
        <v>9</v>
      </c>
      <c r="L42" s="91" t="str">
        <f>IF(OR(COUNTIF(B42:D43, "-")+COUNTBLANK(B42:D43)=6), "Pass", IF(H42 &gt; I42, "Fail", IF(J42 &lt; 3, "Margin 부족", "Pass")))</f>
        <v>Pass</v>
      </c>
      <c r="M42" s="182" t="s">
        <v>12</v>
      </c>
    </row>
    <row r="43" spans="1:13" ht="21.95" customHeight="1" thickBot="1" x14ac:dyDescent="0.35">
      <c r="A43" s="190"/>
      <c r="B43" s="2"/>
      <c r="C43" s="2"/>
      <c r="D43" s="2"/>
      <c r="E43" s="12" t="s">
        <v>28</v>
      </c>
      <c r="F43" s="192"/>
      <c r="G43" s="194"/>
      <c r="H43" s="196"/>
      <c r="I43" s="198"/>
      <c r="J43" s="179"/>
      <c r="K43" s="181"/>
      <c r="L43" s="92"/>
      <c r="M43" s="183"/>
    </row>
    <row r="44" spans="1:13" ht="21.95" customHeight="1" thickBot="1" x14ac:dyDescent="0.35"/>
    <row r="45" spans="1:13" ht="21.95" customHeight="1" x14ac:dyDescent="0.3">
      <c r="A45" s="30" t="s">
        <v>67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2"/>
    </row>
    <row r="46" spans="1:13" ht="21.95" customHeight="1" thickBot="1" x14ac:dyDescent="0.35">
      <c r="A46" s="231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4"/>
    </row>
    <row r="47" spans="1:13" ht="21.95" customHeight="1" x14ac:dyDescent="0.3">
      <c r="A47" s="235" t="s">
        <v>19</v>
      </c>
      <c r="B47" s="254" t="s">
        <v>68</v>
      </c>
      <c r="C47" s="236" t="s">
        <v>22</v>
      </c>
      <c r="D47" s="237" t="s">
        <v>23</v>
      </c>
      <c r="E47" s="237" t="s">
        <v>20</v>
      </c>
      <c r="F47" s="237" t="s">
        <v>21</v>
      </c>
      <c r="G47" s="237" t="s">
        <v>24</v>
      </c>
      <c r="H47" s="238" t="s">
        <v>39</v>
      </c>
      <c r="I47" s="239" t="s">
        <v>37</v>
      </c>
      <c r="J47" s="240" t="s">
        <v>40</v>
      </c>
      <c r="K47" s="241"/>
      <c r="L47" s="241"/>
      <c r="M47" s="242"/>
    </row>
    <row r="48" spans="1:13" ht="21.95" customHeight="1" x14ac:dyDescent="0.3">
      <c r="A48" s="243"/>
      <c r="B48" s="233"/>
      <c r="C48" s="229"/>
      <c r="D48" s="53"/>
      <c r="E48" s="53"/>
      <c r="F48" s="53"/>
      <c r="G48" s="53"/>
      <c r="H48" s="52"/>
      <c r="I48" s="52"/>
      <c r="J48" s="59"/>
      <c r="K48" s="60"/>
      <c r="L48" s="60"/>
      <c r="M48" s="244"/>
    </row>
    <row r="49" spans="1:16" ht="21.95" customHeight="1" x14ac:dyDescent="0.3">
      <c r="A49" s="245" t="s">
        <v>71</v>
      </c>
      <c r="B49" s="255"/>
      <c r="C49" s="230"/>
      <c r="D49" s="36"/>
      <c r="E49" s="36"/>
      <c r="F49" s="36"/>
      <c r="G49" s="36"/>
      <c r="H49" s="37">
        <v>15</v>
      </c>
      <c r="I49" s="37"/>
      <c r="J49" s="39"/>
      <c r="K49" s="40"/>
      <c r="L49" s="40"/>
      <c r="M49" s="246"/>
    </row>
    <row r="50" spans="1:16" ht="21.95" customHeight="1" thickBot="1" x14ac:dyDescent="0.35">
      <c r="A50" s="247"/>
      <c r="B50" s="256"/>
      <c r="C50" s="248"/>
      <c r="D50" s="249"/>
      <c r="E50" s="249"/>
      <c r="F50" s="249"/>
      <c r="G50" s="249"/>
      <c r="H50" s="250"/>
      <c r="I50" s="250"/>
      <c r="J50" s="251"/>
      <c r="K50" s="252"/>
      <c r="L50" s="252"/>
      <c r="M50" s="253"/>
    </row>
    <row r="51" spans="1:16" ht="21.95" customHeight="1" x14ac:dyDescent="0.3">
      <c r="A51" s="155" t="s">
        <v>44</v>
      </c>
      <c r="B51" s="159"/>
      <c r="C51" s="159"/>
      <c r="D51" s="159"/>
      <c r="E51" s="160"/>
      <c r="F51" s="155" t="s">
        <v>50</v>
      </c>
      <c r="G51" s="159"/>
      <c r="H51" s="159"/>
      <c r="I51" s="159"/>
      <c r="J51" s="159"/>
      <c r="K51" s="159"/>
      <c r="L51" s="159"/>
      <c r="M51" s="160"/>
    </row>
    <row r="52" spans="1:16" ht="21.95" customHeight="1" x14ac:dyDescent="0.3">
      <c r="A52" s="228"/>
      <c r="B52" s="161"/>
      <c r="C52" s="161"/>
      <c r="D52" s="161"/>
      <c r="E52" s="162"/>
      <c r="F52" s="228"/>
      <c r="G52" s="161"/>
      <c r="H52" s="161"/>
      <c r="I52" s="161"/>
      <c r="J52" s="161"/>
      <c r="K52" s="161"/>
      <c r="L52" s="161"/>
      <c r="M52" s="162"/>
    </row>
    <row r="53" spans="1:16" ht="21.95" customHeight="1" thickBot="1" x14ac:dyDescent="0.35">
      <c r="A53" s="67" t="s">
        <v>7</v>
      </c>
      <c r="B53" s="68"/>
      <c r="C53" s="68"/>
      <c r="D53" s="68"/>
      <c r="E53" s="69"/>
      <c r="F53" s="68" t="s">
        <v>7</v>
      </c>
      <c r="G53" s="68"/>
      <c r="H53" s="68"/>
      <c r="I53" s="68"/>
      <c r="J53" s="70"/>
      <c r="K53" s="68"/>
      <c r="L53" s="68"/>
      <c r="M53" s="69"/>
    </row>
    <row r="54" spans="1:16" ht="21.95" customHeight="1" thickTop="1" x14ac:dyDescent="0.3">
      <c r="A54" s="71" t="s">
        <v>43</v>
      </c>
      <c r="B54" s="73" t="s">
        <v>4</v>
      </c>
      <c r="C54" s="73" t="s">
        <v>15</v>
      </c>
      <c r="D54" s="73" t="s">
        <v>3</v>
      </c>
      <c r="E54" s="75" t="s">
        <v>2</v>
      </c>
      <c r="F54" s="71" t="s">
        <v>43</v>
      </c>
      <c r="G54" s="77" t="s">
        <v>17</v>
      </c>
      <c r="H54" s="77" t="s">
        <v>29</v>
      </c>
      <c r="I54" s="79" t="s">
        <v>41</v>
      </c>
      <c r="J54" s="81" t="s">
        <v>42</v>
      </c>
      <c r="K54" s="83" t="s">
        <v>10</v>
      </c>
      <c r="L54" s="85" t="s">
        <v>18</v>
      </c>
      <c r="M54" s="87" t="s">
        <v>8</v>
      </c>
    </row>
    <row r="55" spans="1:16" ht="21.95" customHeight="1" x14ac:dyDescent="0.3">
      <c r="A55" s="72"/>
      <c r="B55" s="74"/>
      <c r="C55" s="74"/>
      <c r="D55" s="74"/>
      <c r="E55" s="76"/>
      <c r="F55" s="72"/>
      <c r="G55" s="78"/>
      <c r="H55" s="78"/>
      <c r="I55" s="80"/>
      <c r="J55" s="82"/>
      <c r="K55" s="84"/>
      <c r="L55" s="86"/>
      <c r="M55" s="88"/>
    </row>
    <row r="56" spans="1:16" ht="21.95" customHeight="1" x14ac:dyDescent="0.3">
      <c r="A56" s="95" t="s">
        <v>26</v>
      </c>
      <c r="B56" s="3"/>
      <c r="C56" s="3"/>
      <c r="D56" s="3"/>
      <c r="E56" s="11" t="s">
        <v>27</v>
      </c>
      <c r="F56" s="97" t="str">
        <f>A56</f>
        <v>Spurious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-36</v>
      </c>
      <c r="J56" s="105" t="str">
        <f>IF(OR(I56-H56&gt;10,I56-H56=-36),"No Peak Found",I56-H56)</f>
        <v>No Peak Found</v>
      </c>
      <c r="K56" s="89" t="s">
        <v>9</v>
      </c>
      <c r="L56" s="91" t="str">
        <f>IF(OR(COUNTIF(B56:D57, "-")+COUNTBLANK(B56:D57)=6), "Pass", IF(H56 &gt; I56, "Fail", IF(J56 &lt; 3, "Margin 부족", "Pass")))</f>
        <v>Pass</v>
      </c>
      <c r="M56" s="93" t="s">
        <v>12</v>
      </c>
    </row>
    <row r="57" spans="1:16" ht="21.95" customHeight="1" thickBot="1" x14ac:dyDescent="0.35">
      <c r="A57" s="96"/>
      <c r="B57" s="7"/>
      <c r="C57" s="7"/>
      <c r="D57" s="7"/>
      <c r="E57" s="12" t="s">
        <v>28</v>
      </c>
      <c r="F57" s="98"/>
      <c r="G57" s="100"/>
      <c r="H57" s="102"/>
      <c r="I57" s="104"/>
      <c r="J57" s="106"/>
      <c r="K57" s="90"/>
      <c r="L57" s="92"/>
      <c r="M57" s="94"/>
    </row>
    <row r="58" spans="1:16" ht="21.95" customHeight="1" thickBot="1" x14ac:dyDescent="0.35">
      <c r="A58" s="107" t="s">
        <v>30</v>
      </c>
      <c r="B58" s="108"/>
      <c r="C58" s="108"/>
      <c r="D58" s="108"/>
      <c r="E58" s="109"/>
      <c r="F58" s="108" t="s">
        <v>30</v>
      </c>
      <c r="G58" s="108"/>
      <c r="H58" s="108"/>
      <c r="I58" s="108"/>
      <c r="J58" s="70"/>
      <c r="K58" s="108"/>
      <c r="L58" s="108"/>
      <c r="M58" s="108"/>
    </row>
    <row r="59" spans="1:16" ht="21.95" customHeight="1" thickTop="1" x14ac:dyDescent="0.3">
      <c r="A59" s="71" t="s">
        <v>43</v>
      </c>
      <c r="B59" s="73" t="s">
        <v>14</v>
      </c>
      <c r="C59" s="73" t="s">
        <v>15</v>
      </c>
      <c r="D59" s="73" t="s">
        <v>16</v>
      </c>
      <c r="E59" s="75" t="s">
        <v>17</v>
      </c>
      <c r="F59" s="71" t="s">
        <v>43</v>
      </c>
      <c r="G59" s="77" t="s">
        <v>17</v>
      </c>
      <c r="H59" s="77" t="s">
        <v>29</v>
      </c>
      <c r="I59" s="79" t="s">
        <v>41</v>
      </c>
      <c r="J59" s="81" t="s">
        <v>42</v>
      </c>
      <c r="K59" s="83" t="s">
        <v>10</v>
      </c>
      <c r="L59" s="85" t="s">
        <v>18</v>
      </c>
      <c r="M59" s="87" t="s">
        <v>8</v>
      </c>
    </row>
    <row r="60" spans="1:16" ht="21.95" customHeight="1" x14ac:dyDescent="0.3">
      <c r="A60" s="72"/>
      <c r="B60" s="74"/>
      <c r="C60" s="74"/>
      <c r="D60" s="74"/>
      <c r="E60" s="76"/>
      <c r="F60" s="72"/>
      <c r="G60" s="78"/>
      <c r="H60" s="78"/>
      <c r="I60" s="80"/>
      <c r="J60" s="82"/>
      <c r="K60" s="84"/>
      <c r="L60" s="86"/>
      <c r="M60" s="88"/>
    </row>
    <row r="61" spans="1:16" ht="21.95" customHeight="1" x14ac:dyDescent="0.3">
      <c r="A61" s="110" t="s">
        <v>26</v>
      </c>
      <c r="B61" s="3"/>
      <c r="C61" s="3"/>
      <c r="D61" s="3"/>
      <c r="E61" s="11" t="s">
        <v>27</v>
      </c>
      <c r="F61" s="112" t="str">
        <f>$A$19</f>
        <v>Spurious</v>
      </c>
      <c r="G61" s="99" t="str">
        <f>IF(COUNT(B61:D61)=0, "H", IF(COUNT(B62:D62)=0, "V", IF(MAX(B61:D61) &gt;= MAX(B62:D62), "V", "H")))</f>
        <v>H</v>
      </c>
      <c r="H61" s="101">
        <f>MAX(B61:D62)</f>
        <v>0</v>
      </c>
      <c r="I61" s="103">
        <v>-30</v>
      </c>
      <c r="J61" s="105" t="str">
        <f>IF(OR(I61-H61&gt;10,I61-H61=-30),"No Peak Found",I61-H61)</f>
        <v>No Peak Found</v>
      </c>
      <c r="K61" s="89" t="s">
        <v>9</v>
      </c>
      <c r="L61" s="91" t="str">
        <f>IF(OR(COUNTIF(B61:D62, "-")+COUNTBLANK(B61:D62)=6), "Pass", IF(H61 &gt; I61, "Fail", IF(J61 &lt; 3, "Margin 부족", "Pass")))</f>
        <v>Pass</v>
      </c>
      <c r="M61" s="93" t="s">
        <v>12</v>
      </c>
    </row>
    <row r="62" spans="1:16" ht="21.95" customHeight="1" thickBot="1" x14ac:dyDescent="0.35">
      <c r="A62" s="111"/>
      <c r="B62" s="7"/>
      <c r="C62" s="7"/>
      <c r="D62" s="7"/>
      <c r="E62" s="12" t="s">
        <v>28</v>
      </c>
      <c r="F62" s="113"/>
      <c r="G62" s="114"/>
      <c r="H62" s="115"/>
      <c r="I62" s="116"/>
      <c r="J62" s="106"/>
      <c r="K62" s="117"/>
      <c r="L62" s="118"/>
      <c r="M62" s="119"/>
    </row>
    <row r="63" spans="1:16" ht="21.95" customHeight="1" thickBot="1" x14ac:dyDescent="0.35">
      <c r="A63" s="120" t="s">
        <v>31</v>
      </c>
      <c r="B63" s="121"/>
      <c r="C63" s="121"/>
      <c r="D63" s="121"/>
      <c r="E63" s="121"/>
      <c r="F63" s="122" t="s">
        <v>31</v>
      </c>
      <c r="G63" s="123"/>
      <c r="H63" s="123"/>
      <c r="I63" s="123"/>
      <c r="J63" s="70"/>
      <c r="K63" s="123"/>
      <c r="L63" s="124"/>
      <c r="M63" s="125"/>
      <c r="N63" s="8" t="s">
        <v>8</v>
      </c>
    </row>
    <row r="64" spans="1:16" ht="21.95" customHeight="1" thickTop="1" x14ac:dyDescent="0.3">
      <c r="A64" s="71" t="s">
        <v>43</v>
      </c>
      <c r="B64" s="73" t="s">
        <v>14</v>
      </c>
      <c r="C64" s="73" t="s">
        <v>15</v>
      </c>
      <c r="D64" s="73" t="s">
        <v>16</v>
      </c>
      <c r="E64" s="75" t="s">
        <v>17</v>
      </c>
      <c r="F64" s="202" t="s">
        <v>43</v>
      </c>
      <c r="G64" s="132" t="s">
        <v>17</v>
      </c>
      <c r="H64" s="132" t="s">
        <v>29</v>
      </c>
      <c r="I64" s="133" t="s">
        <v>41</v>
      </c>
      <c r="J64" s="81" t="s">
        <v>42</v>
      </c>
      <c r="K64" s="134" t="s">
        <v>10</v>
      </c>
      <c r="L64" s="136" t="s">
        <v>18</v>
      </c>
      <c r="M64" s="138" t="s">
        <v>8</v>
      </c>
      <c r="N64" s="163" t="str">
        <f>"1. Sub6 NR Band : " &amp; VALUE(RIGHT(A7, LEN(A7)-1))</f>
        <v>1. Sub6 NR Band : 7</v>
      </c>
      <c r="O64" s="164"/>
      <c r="P64" s="164"/>
    </row>
    <row r="65" spans="1:16" ht="21.95" customHeight="1" x14ac:dyDescent="0.3">
      <c r="A65" s="72"/>
      <c r="B65" s="129"/>
      <c r="C65" s="129"/>
      <c r="D65" s="129"/>
      <c r="E65" s="76"/>
      <c r="F65" s="84"/>
      <c r="G65" s="78"/>
      <c r="H65" s="78"/>
      <c r="I65" s="80"/>
      <c r="J65" s="82"/>
      <c r="K65" s="135"/>
      <c r="L65" s="137"/>
      <c r="M65" s="139"/>
      <c r="N65" s="152" t="str">
        <f>"2. SCS : " &amp; H7 &amp; " kHz"</f>
        <v>2. SCS : 15 kHz</v>
      </c>
      <c r="O65" s="153"/>
      <c r="P65" s="153"/>
    </row>
    <row r="66" spans="1:16" ht="21.95" customHeight="1" x14ac:dyDescent="0.3">
      <c r="A66" s="199">
        <f>J7*2</f>
        <v>0</v>
      </c>
      <c r="B66" s="4"/>
      <c r="C66" s="4"/>
      <c r="D66" s="4"/>
      <c r="E66" s="16" t="s">
        <v>1</v>
      </c>
      <c r="F66" s="201">
        <f>$A$24</f>
        <v>0</v>
      </c>
      <c r="G66" s="99" t="str">
        <f>IF(COUNT(B66:D66)=0, "H", IF(COUNT(B67:D67)=0, "V", IF(MAX(B66:D66) &gt;= MAX(B67:D67), "V", "H")))</f>
        <v>H</v>
      </c>
      <c r="H66" s="101">
        <f>MAX(B66:D67)</f>
        <v>0</v>
      </c>
      <c r="I66" s="103">
        <v>-30</v>
      </c>
      <c r="J66" s="143" t="str">
        <f>IF(OR(I66-H66&gt;10,I66-H66=-30),"No Peak Found",I66-H66)</f>
        <v>No Peak Found</v>
      </c>
      <c r="K66" s="144" t="s">
        <v>9</v>
      </c>
      <c r="L66" s="117" t="str">
        <f>IF(OR(COUNTIF(B66:D67, "-")+COUNTBLANK(B66:D67)=6), "Pass", IF(H66 &gt; I66, "Fail", IF(J66 &lt; 3, "Margin 부족", "Pass")))</f>
        <v>Pass</v>
      </c>
      <c r="M66" s="146" t="s">
        <v>11</v>
      </c>
      <c r="N66" s="152" t="str">
        <f>"3. The test was performed the " &amp; I7 &amp; " antenna."</f>
        <v>3. The test was performed the  antenna.</v>
      </c>
      <c r="O66" s="153"/>
      <c r="P66" s="153"/>
    </row>
    <row r="67" spans="1:16" ht="21.95" customHeight="1" x14ac:dyDescent="0.3">
      <c r="A67" s="200"/>
      <c r="B67" s="4"/>
      <c r="C67" s="4"/>
      <c r="D67" s="4"/>
      <c r="E67" s="16" t="s">
        <v>0</v>
      </c>
      <c r="F67" s="201"/>
      <c r="G67" s="99"/>
      <c r="H67" s="101"/>
      <c r="I67" s="103"/>
      <c r="J67" s="143"/>
      <c r="K67" s="144"/>
      <c r="L67" s="145"/>
      <c r="M67" s="147"/>
      <c r="N67" s="152" t="str">
        <f>"4. " &amp; LEFT(A51, FIND(" ", A51 &amp; " ") - 1) &amp; " Mode Test."</f>
        <v>4. SA Mode Test.</v>
      </c>
      <c r="O67" s="154"/>
      <c r="P67" s="154"/>
    </row>
    <row r="68" spans="1:16" ht="21.95" customHeight="1" x14ac:dyDescent="0.3">
      <c r="A68" s="199">
        <f>J7*3</f>
        <v>0</v>
      </c>
      <c r="B68" s="4"/>
      <c r="C68" s="4"/>
      <c r="D68" s="4"/>
      <c r="E68" s="16" t="s">
        <v>1</v>
      </c>
      <c r="F68" s="203">
        <f>$A$26</f>
        <v>0</v>
      </c>
      <c r="G68" s="99" t="str">
        <f>IF(COUNT(B68:D68)=0, "H", IF(COUNT(B69:D69)=0, "V", IF(MAX(B68:D68) &gt;= MAX(B69:D69), "V", "H")))</f>
        <v>H</v>
      </c>
      <c r="H68" s="101">
        <f>MAX(B68:D69)</f>
        <v>0</v>
      </c>
      <c r="I68" s="149">
        <v>-30</v>
      </c>
      <c r="J68" s="143" t="str">
        <f t="shared" ref="J68" si="3">IF(OR(I68-H68&gt;10,I68-H68=-30),"No Peak Found",I68-H68)</f>
        <v>No Peak Found</v>
      </c>
      <c r="K68" s="150" t="s">
        <v>9</v>
      </c>
      <c r="L68" s="117" t="str">
        <f>IF(OR(COUNTIF(B68:D69, "-")+COUNTBLANK(B68:D69)=6), "Pass", IF(H68 &gt; I68, "Fail", IF(J68 &lt; 3, "Margin 부족", "Pass")))</f>
        <v>Pass</v>
      </c>
      <c r="M68" s="146" t="s">
        <v>11</v>
      </c>
    </row>
    <row r="69" spans="1:16" ht="21.95" customHeight="1" x14ac:dyDescent="0.3">
      <c r="A69" s="200"/>
      <c r="B69" s="4"/>
      <c r="C69" s="4"/>
      <c r="D69" s="4"/>
      <c r="E69" s="16" t="s">
        <v>0</v>
      </c>
      <c r="F69" s="203"/>
      <c r="G69" s="99"/>
      <c r="H69" s="101"/>
      <c r="I69" s="149"/>
      <c r="J69" s="143"/>
      <c r="K69" s="150"/>
      <c r="L69" s="145"/>
      <c r="M69" s="147"/>
    </row>
    <row r="70" spans="1:16" ht="21.95" customHeight="1" x14ac:dyDescent="0.3">
      <c r="A70" s="199">
        <f>J7*4</f>
        <v>0</v>
      </c>
      <c r="B70" s="4"/>
      <c r="C70" s="4"/>
      <c r="D70" s="4"/>
      <c r="E70" s="16" t="s">
        <v>1</v>
      </c>
      <c r="F70" s="201">
        <f>$A$28</f>
        <v>0</v>
      </c>
      <c r="G70" s="99" t="str">
        <f>IF(COUNT(B70:D70)=0, "H", IF(COUNT(B71:D71)=0, "V", IF(MAX(B70:D70) &gt;= MAX(B71:D71), "V", "H")))</f>
        <v>H</v>
      </c>
      <c r="H70" s="101">
        <f>MAX(B70:D71)</f>
        <v>0</v>
      </c>
      <c r="I70" s="149">
        <v>-30</v>
      </c>
      <c r="J70" s="143" t="str">
        <f t="shared" ref="J70" si="4">IF(OR(I70-H70&gt;10,I70-H70=-30),"No Peak Found",I70-H70)</f>
        <v>No Peak Found</v>
      </c>
      <c r="K70" s="171" t="s">
        <v>9</v>
      </c>
      <c r="L70" s="117" t="str">
        <f>IF(OR(COUNTIF(B70:D71, "-")+COUNTBLANK(B70:D71)=6), "Pass", IF(H70 &gt; I70, "Fail", IF(J70 &lt; 3, "Margin 부족", "Pass")))</f>
        <v>Pass</v>
      </c>
      <c r="M70" s="146" t="s">
        <v>11</v>
      </c>
    </row>
    <row r="71" spans="1:16" ht="21.95" customHeight="1" x14ac:dyDescent="0.3">
      <c r="A71" s="200"/>
      <c r="B71" s="4"/>
      <c r="C71" s="4"/>
      <c r="D71" s="4"/>
      <c r="E71" s="16" t="s">
        <v>0</v>
      </c>
      <c r="F71" s="201"/>
      <c r="G71" s="99"/>
      <c r="H71" s="101"/>
      <c r="I71" s="149"/>
      <c r="J71" s="143"/>
      <c r="K71" s="171"/>
      <c r="L71" s="145"/>
      <c r="M71" s="147"/>
    </row>
    <row r="72" spans="1:16" ht="21.95" customHeight="1" x14ac:dyDescent="0.3">
      <c r="A72" s="199">
        <f>J7*5</f>
        <v>0</v>
      </c>
      <c r="B72" s="4"/>
      <c r="C72" s="4"/>
      <c r="D72" s="4"/>
      <c r="E72" s="16" t="s">
        <v>1</v>
      </c>
      <c r="F72" s="203">
        <f>$A$30</f>
        <v>0</v>
      </c>
      <c r="G72" s="99" t="str">
        <f>IF(COUNT(B72:D72)=0, "H", IF(COUNT(B73:D73)=0, "V", IF(MAX(B72:D72) &gt;= MAX(B73:D73), "V", "H")))</f>
        <v>H</v>
      </c>
      <c r="H72" s="101">
        <f>MAX(B72:D73)</f>
        <v>0</v>
      </c>
      <c r="I72" s="149">
        <v>-30</v>
      </c>
      <c r="J72" s="143" t="str">
        <f t="shared" ref="J72" si="5">IF(OR(I72-H72&gt;10,I72-H72=-30),"No Peak Found",I72-H72)</f>
        <v>No Peak Found</v>
      </c>
      <c r="K72" s="171" t="s">
        <v>9</v>
      </c>
      <c r="L72" s="117" t="str">
        <f>IF(OR(COUNTIF(B72:D73, "-")+COUNTBLANK(B72:D73)=6), "Pass", IF(H72 &gt; I72, "Fail", IF(J72 &lt; 3, "Margin 부족", "Pass")))</f>
        <v>Pass</v>
      </c>
      <c r="M72" s="146" t="s">
        <v>11</v>
      </c>
    </row>
    <row r="73" spans="1:16" ht="21.95" customHeight="1" thickBot="1" x14ac:dyDescent="0.35">
      <c r="A73" s="204"/>
      <c r="B73" s="17"/>
      <c r="C73" s="17"/>
      <c r="D73" s="17"/>
      <c r="E73" s="18" t="s">
        <v>28</v>
      </c>
      <c r="F73" s="205"/>
      <c r="G73" s="167"/>
      <c r="H73" s="168"/>
      <c r="I73" s="169"/>
      <c r="J73" s="170"/>
      <c r="K73" s="172"/>
      <c r="L73" s="173"/>
      <c r="M73" s="151"/>
    </row>
    <row r="74" spans="1:16" ht="21.95" customHeight="1" x14ac:dyDescent="0.3">
      <c r="A74" s="155" t="s">
        <v>45</v>
      </c>
      <c r="B74" s="156"/>
      <c r="C74" s="156"/>
      <c r="D74" s="156"/>
      <c r="E74" s="157"/>
      <c r="F74" s="159" t="s">
        <v>51</v>
      </c>
      <c r="G74" s="159"/>
      <c r="H74" s="159"/>
      <c r="I74" s="159"/>
      <c r="J74" s="159"/>
      <c r="K74" s="159"/>
      <c r="L74" s="159"/>
      <c r="M74" s="160"/>
    </row>
    <row r="75" spans="1:16" ht="21.95" customHeight="1" x14ac:dyDescent="0.3">
      <c r="A75" s="158"/>
      <c r="B75" s="156"/>
      <c r="C75" s="156"/>
      <c r="D75" s="156"/>
      <c r="E75" s="157"/>
      <c r="F75" s="161"/>
      <c r="G75" s="161"/>
      <c r="H75" s="161"/>
      <c r="I75" s="161"/>
      <c r="J75" s="161"/>
      <c r="K75" s="161"/>
      <c r="L75" s="161"/>
      <c r="M75" s="162"/>
    </row>
    <row r="76" spans="1:16" ht="21.95" customHeight="1" thickBot="1" x14ac:dyDescent="0.35">
      <c r="A76" s="174" t="s">
        <v>6</v>
      </c>
      <c r="B76" s="175"/>
      <c r="C76" s="175"/>
      <c r="D76" s="175"/>
      <c r="E76" s="176"/>
      <c r="F76" s="177" t="s">
        <v>6</v>
      </c>
      <c r="G76" s="177"/>
      <c r="H76" s="177"/>
      <c r="I76" s="177"/>
      <c r="J76" s="177"/>
      <c r="K76" s="177"/>
      <c r="L76" s="177"/>
      <c r="M76" s="177"/>
    </row>
    <row r="77" spans="1:16" ht="21.95" customHeight="1" thickTop="1" x14ac:dyDescent="0.3">
      <c r="A77" s="71" t="s">
        <v>43</v>
      </c>
      <c r="B77" s="73" t="s">
        <v>14</v>
      </c>
      <c r="C77" s="73" t="s">
        <v>15</v>
      </c>
      <c r="D77" s="73" t="s">
        <v>16</v>
      </c>
      <c r="E77" s="75" t="s">
        <v>17</v>
      </c>
      <c r="F77" s="71" t="s">
        <v>43</v>
      </c>
      <c r="G77" s="77" t="s">
        <v>17</v>
      </c>
      <c r="H77" s="77" t="s">
        <v>29</v>
      </c>
      <c r="I77" s="79" t="s">
        <v>41</v>
      </c>
      <c r="J77" s="81" t="s">
        <v>42</v>
      </c>
      <c r="K77" s="187" t="s">
        <v>10</v>
      </c>
      <c r="L77" s="85" t="s">
        <v>18</v>
      </c>
      <c r="M77" s="87" t="s">
        <v>8</v>
      </c>
    </row>
    <row r="78" spans="1:16" ht="21.95" customHeight="1" x14ac:dyDescent="0.3">
      <c r="A78" s="72"/>
      <c r="B78" s="74"/>
      <c r="C78" s="74"/>
      <c r="D78" s="74"/>
      <c r="E78" s="76"/>
      <c r="F78" s="72"/>
      <c r="G78" s="78"/>
      <c r="H78" s="78"/>
      <c r="I78" s="80"/>
      <c r="J78" s="82"/>
      <c r="K78" s="188"/>
      <c r="L78" s="86"/>
      <c r="M78" s="88"/>
    </row>
    <row r="79" spans="1:16" ht="21.95" customHeight="1" x14ac:dyDescent="0.3">
      <c r="A79" s="189" t="s">
        <v>26</v>
      </c>
      <c r="B79" s="10"/>
      <c r="C79" s="1"/>
      <c r="D79" s="1"/>
      <c r="E79" s="11" t="s">
        <v>27</v>
      </c>
      <c r="F79" s="191" t="str">
        <f>A79</f>
        <v>Spurious</v>
      </c>
      <c r="G79" s="193" t="str">
        <f>IF(COUNT(B79:D79)=0, "H", IF(COUNT(B80:D80)=0, "V", IF(MAX(B79:D79) &gt;= MAX(B80:D80), "V", "H")))</f>
        <v>H</v>
      </c>
      <c r="H79" s="195">
        <f>MAX(B79:D80)</f>
        <v>0</v>
      </c>
      <c r="I79" s="197">
        <v>-57</v>
      </c>
      <c r="J79" s="178" t="str">
        <f>IF(OR(I79-H79&gt;10,I79-H79=-57),"No Peak Found",I79-H79)</f>
        <v>No Peak Found</v>
      </c>
      <c r="K79" s="180" t="s">
        <v>9</v>
      </c>
      <c r="L79" s="91" t="str">
        <f>IF(OR(COUNTIF(B79:D80, "-")+COUNTBLANK(B79:D80)=6), "Pass", IF(H79 &gt; I79, "Fail", IF(J79 &lt; 3, "Margin 부족", "Pass")))</f>
        <v>Pass</v>
      </c>
      <c r="M79" s="182" t="s">
        <v>12</v>
      </c>
    </row>
    <row r="80" spans="1:16" ht="21.95" customHeight="1" thickBot="1" x14ac:dyDescent="0.35">
      <c r="A80" s="190"/>
      <c r="B80" s="2"/>
      <c r="C80" s="2"/>
      <c r="D80" s="2"/>
      <c r="E80" s="12" t="s">
        <v>28</v>
      </c>
      <c r="F80" s="192"/>
      <c r="G80" s="194"/>
      <c r="H80" s="196"/>
      <c r="I80" s="198"/>
      <c r="J80" s="179"/>
      <c r="K80" s="181"/>
      <c r="L80" s="92"/>
      <c r="M80" s="183"/>
    </row>
    <row r="81" spans="1:13" ht="21.95" customHeight="1" thickBot="1" x14ac:dyDescent="0.35">
      <c r="A81" s="184" t="s">
        <v>33</v>
      </c>
      <c r="B81" s="185"/>
      <c r="C81" s="185"/>
      <c r="D81" s="185"/>
      <c r="E81" s="186"/>
      <c r="F81" s="70" t="s">
        <v>33</v>
      </c>
      <c r="G81" s="70"/>
      <c r="H81" s="70"/>
      <c r="I81" s="70"/>
      <c r="J81" s="70"/>
      <c r="K81" s="70"/>
      <c r="L81" s="70"/>
      <c r="M81" s="70"/>
    </row>
    <row r="82" spans="1:13" ht="21.95" customHeight="1" thickTop="1" x14ac:dyDescent="0.3">
      <c r="A82" s="71" t="s">
        <v>43</v>
      </c>
      <c r="B82" s="73" t="s">
        <v>14</v>
      </c>
      <c r="C82" s="73" t="s">
        <v>15</v>
      </c>
      <c r="D82" s="73" t="s">
        <v>16</v>
      </c>
      <c r="E82" s="75" t="s">
        <v>17</v>
      </c>
      <c r="F82" s="71" t="s">
        <v>43</v>
      </c>
      <c r="G82" s="77" t="s">
        <v>17</v>
      </c>
      <c r="H82" s="77" t="s">
        <v>29</v>
      </c>
      <c r="I82" s="79" t="s">
        <v>41</v>
      </c>
      <c r="J82" s="81" t="s">
        <v>42</v>
      </c>
      <c r="K82" s="187" t="s">
        <v>10</v>
      </c>
      <c r="L82" s="85" t="s">
        <v>18</v>
      </c>
      <c r="M82" s="87" t="s">
        <v>8</v>
      </c>
    </row>
    <row r="83" spans="1:13" ht="21.95" customHeight="1" x14ac:dyDescent="0.3">
      <c r="A83" s="72"/>
      <c r="B83" s="74"/>
      <c r="C83" s="74"/>
      <c r="D83" s="74"/>
      <c r="E83" s="76"/>
      <c r="F83" s="72"/>
      <c r="G83" s="78"/>
      <c r="H83" s="78"/>
      <c r="I83" s="80"/>
      <c r="J83" s="82"/>
      <c r="K83" s="188"/>
      <c r="L83" s="86"/>
      <c r="M83" s="88"/>
    </row>
    <row r="84" spans="1:13" ht="21.95" customHeight="1" x14ac:dyDescent="0.3">
      <c r="A84" s="189" t="s">
        <v>26</v>
      </c>
      <c r="B84" s="10"/>
      <c r="C84" s="1"/>
      <c r="D84" s="1"/>
      <c r="E84" s="11" t="s">
        <v>27</v>
      </c>
      <c r="F84" s="191" t="str">
        <f>A84</f>
        <v>Spurious</v>
      </c>
      <c r="G84" s="193" t="str">
        <f>IF(COUNT(B84:D84)=0, "H", IF(COUNT(B85:D85)=0, "V", IF(MAX(B84:D84) &gt;= MAX(B85:D85), "V", "H")))</f>
        <v>H</v>
      </c>
      <c r="H84" s="195">
        <f>MAX(B84:D85)</f>
        <v>0</v>
      </c>
      <c r="I84" s="197">
        <v>-47</v>
      </c>
      <c r="J84" s="178" t="str">
        <f>IF(OR(I84-H84&gt;10,I84-H84=-47),"No Peak Found",I84-H84)</f>
        <v>No Peak Found</v>
      </c>
      <c r="K84" s="180" t="s">
        <v>9</v>
      </c>
      <c r="L84" s="91" t="str">
        <f>IF(OR(COUNTIF(B84:D85, "-")+COUNTBLANK(B84:D85)=6), "Pass", IF(H84 &gt; I84, "Fail", IF(J84 &lt; 3, "Margin 부족", "Pass")))</f>
        <v>Pass</v>
      </c>
      <c r="M84" s="182" t="s">
        <v>12</v>
      </c>
    </row>
    <row r="85" spans="1:13" ht="21.95" customHeight="1" thickBot="1" x14ac:dyDescent="0.35">
      <c r="A85" s="190"/>
      <c r="B85" s="2"/>
      <c r="C85" s="2"/>
      <c r="D85" s="2"/>
      <c r="E85" s="12" t="s">
        <v>28</v>
      </c>
      <c r="F85" s="192"/>
      <c r="G85" s="194"/>
      <c r="H85" s="196"/>
      <c r="I85" s="198"/>
      <c r="J85" s="179"/>
      <c r="K85" s="181"/>
      <c r="L85" s="92"/>
      <c r="M85" s="183"/>
    </row>
  </sheetData>
  <mergeCells count="357">
    <mergeCell ref="J84:J85"/>
    <mergeCell ref="K84:K85"/>
    <mergeCell ref="L84:L85"/>
    <mergeCell ref="M84:M85"/>
    <mergeCell ref="I82:I83"/>
    <mergeCell ref="J82:J83"/>
    <mergeCell ref="K82:K83"/>
    <mergeCell ref="L82:L83"/>
    <mergeCell ref="M82:M83"/>
    <mergeCell ref="A84:A85"/>
    <mergeCell ref="F84:F85"/>
    <mergeCell ref="G84:G85"/>
    <mergeCell ref="H84:H85"/>
    <mergeCell ref="I84:I85"/>
    <mergeCell ref="A81:E81"/>
    <mergeCell ref="F81:M81"/>
    <mergeCell ref="A82:A83"/>
    <mergeCell ref="B82:B83"/>
    <mergeCell ref="C82:C83"/>
    <mergeCell ref="D82:D83"/>
    <mergeCell ref="E82:E83"/>
    <mergeCell ref="F82:F83"/>
    <mergeCell ref="G82:G83"/>
    <mergeCell ref="H82:H83"/>
    <mergeCell ref="M77:M78"/>
    <mergeCell ref="A79:A80"/>
    <mergeCell ref="F79:F80"/>
    <mergeCell ref="G79:G80"/>
    <mergeCell ref="H79:H80"/>
    <mergeCell ref="I79:I80"/>
    <mergeCell ref="J79:J80"/>
    <mergeCell ref="K79:K80"/>
    <mergeCell ref="L79:L80"/>
    <mergeCell ref="M79:M80"/>
    <mergeCell ref="G77:G78"/>
    <mergeCell ref="H77:H78"/>
    <mergeCell ref="I77:I78"/>
    <mergeCell ref="J77:J78"/>
    <mergeCell ref="K77:K78"/>
    <mergeCell ref="L77:L78"/>
    <mergeCell ref="A77:A78"/>
    <mergeCell ref="B77:B78"/>
    <mergeCell ref="C77:C78"/>
    <mergeCell ref="D77:D78"/>
    <mergeCell ref="E77:E78"/>
    <mergeCell ref="F77:F78"/>
    <mergeCell ref="L72:L73"/>
    <mergeCell ref="M72:M73"/>
    <mergeCell ref="A74:E75"/>
    <mergeCell ref="F74:M75"/>
    <mergeCell ref="A76:E76"/>
    <mergeCell ref="F76:M76"/>
    <mergeCell ref="K70:K71"/>
    <mergeCell ref="L70:L71"/>
    <mergeCell ref="M70:M71"/>
    <mergeCell ref="A72:A73"/>
    <mergeCell ref="F72:F73"/>
    <mergeCell ref="G72:G73"/>
    <mergeCell ref="H72:H73"/>
    <mergeCell ref="I72:I73"/>
    <mergeCell ref="J72:J73"/>
    <mergeCell ref="K72:K73"/>
    <mergeCell ref="J68:J69"/>
    <mergeCell ref="K68:K69"/>
    <mergeCell ref="L68:L69"/>
    <mergeCell ref="M68:M69"/>
    <mergeCell ref="A70:A71"/>
    <mergeCell ref="F70:F71"/>
    <mergeCell ref="G70:G71"/>
    <mergeCell ref="H70:H71"/>
    <mergeCell ref="I70:I71"/>
    <mergeCell ref="J70:J71"/>
    <mergeCell ref="K66:K67"/>
    <mergeCell ref="L66:L67"/>
    <mergeCell ref="M66:M67"/>
    <mergeCell ref="N66:P66"/>
    <mergeCell ref="N67:P67"/>
    <mergeCell ref="A68:A69"/>
    <mergeCell ref="F68:F69"/>
    <mergeCell ref="G68:G69"/>
    <mergeCell ref="H68:H69"/>
    <mergeCell ref="I68:I69"/>
    <mergeCell ref="L64:L65"/>
    <mergeCell ref="M64:M65"/>
    <mergeCell ref="N64:P64"/>
    <mergeCell ref="N65:P65"/>
    <mergeCell ref="A66:A67"/>
    <mergeCell ref="F66:F67"/>
    <mergeCell ref="G66:G67"/>
    <mergeCell ref="H66:H67"/>
    <mergeCell ref="I66:I67"/>
    <mergeCell ref="J66:J67"/>
    <mergeCell ref="F64:F65"/>
    <mergeCell ref="G64:G65"/>
    <mergeCell ref="H64:H65"/>
    <mergeCell ref="I64:I65"/>
    <mergeCell ref="J64:J65"/>
    <mergeCell ref="K64:K65"/>
    <mergeCell ref="K61:K62"/>
    <mergeCell ref="L61:L62"/>
    <mergeCell ref="M61:M62"/>
    <mergeCell ref="A63:E63"/>
    <mergeCell ref="F63:M63"/>
    <mergeCell ref="A64:A65"/>
    <mergeCell ref="B64:B65"/>
    <mergeCell ref="C64:C65"/>
    <mergeCell ref="D64:D65"/>
    <mergeCell ref="E64:E65"/>
    <mergeCell ref="A61:A62"/>
    <mergeCell ref="F61:F62"/>
    <mergeCell ref="G61:G62"/>
    <mergeCell ref="H61:H62"/>
    <mergeCell ref="I61:I62"/>
    <mergeCell ref="J61:J62"/>
    <mergeCell ref="H59:H60"/>
    <mergeCell ref="I59:I60"/>
    <mergeCell ref="J59:J60"/>
    <mergeCell ref="K59:K60"/>
    <mergeCell ref="L59:L60"/>
    <mergeCell ref="M59:M60"/>
    <mergeCell ref="M56:M57"/>
    <mergeCell ref="A58:E58"/>
    <mergeCell ref="F58:M58"/>
    <mergeCell ref="A59:A60"/>
    <mergeCell ref="B59:B60"/>
    <mergeCell ref="C59:C60"/>
    <mergeCell ref="D59:D60"/>
    <mergeCell ref="E59:E60"/>
    <mergeCell ref="F59:F60"/>
    <mergeCell ref="G59:G60"/>
    <mergeCell ref="L54:L55"/>
    <mergeCell ref="M54:M55"/>
    <mergeCell ref="A56:A57"/>
    <mergeCell ref="F56:F57"/>
    <mergeCell ref="G56:G57"/>
    <mergeCell ref="H56:H57"/>
    <mergeCell ref="I56:I57"/>
    <mergeCell ref="J56:J57"/>
    <mergeCell ref="K56:K57"/>
    <mergeCell ref="L56:L57"/>
    <mergeCell ref="F54:F55"/>
    <mergeCell ref="G54:G55"/>
    <mergeCell ref="H54:H55"/>
    <mergeCell ref="I54:I55"/>
    <mergeCell ref="J54:J55"/>
    <mergeCell ref="K54:K55"/>
    <mergeCell ref="J49:M50"/>
    <mergeCell ref="A51:E52"/>
    <mergeCell ref="F51:M52"/>
    <mergeCell ref="A53:E53"/>
    <mergeCell ref="F53:M53"/>
    <mergeCell ref="A54:A55"/>
    <mergeCell ref="B54:B55"/>
    <mergeCell ref="C54:C55"/>
    <mergeCell ref="D54:D55"/>
    <mergeCell ref="E54:E55"/>
    <mergeCell ref="J47:M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45:M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M40:M41"/>
    <mergeCell ref="A42:A43"/>
    <mergeCell ref="F42:F43"/>
    <mergeCell ref="G42:G43"/>
    <mergeCell ref="H42:H43"/>
    <mergeCell ref="I42:I43"/>
    <mergeCell ref="J42:J43"/>
    <mergeCell ref="K42:K43"/>
    <mergeCell ref="L42:L43"/>
    <mergeCell ref="M42:M43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J37:J38"/>
    <mergeCell ref="K37:K38"/>
    <mergeCell ref="L37:L38"/>
    <mergeCell ref="M37:M38"/>
    <mergeCell ref="A39:E39"/>
    <mergeCell ref="F39:M39"/>
    <mergeCell ref="I35:I36"/>
    <mergeCell ref="J35:J36"/>
    <mergeCell ref="K35:K36"/>
    <mergeCell ref="L35:L36"/>
    <mergeCell ref="M35:M36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K30:K31"/>
    <mergeCell ref="L30:L31"/>
    <mergeCell ref="M30:M31"/>
    <mergeCell ref="N30:P30"/>
    <mergeCell ref="N31:P31"/>
    <mergeCell ref="A32:E33"/>
    <mergeCell ref="F32:M33"/>
    <mergeCell ref="L28:L29"/>
    <mergeCell ref="M28:M29"/>
    <mergeCell ref="N28:P28"/>
    <mergeCell ref="N29:P29"/>
    <mergeCell ref="A30:A31"/>
    <mergeCell ref="F30:F31"/>
    <mergeCell ref="G30:G31"/>
    <mergeCell ref="H30:H31"/>
    <mergeCell ref="I30:I31"/>
    <mergeCell ref="J30:J31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J24:J25"/>
    <mergeCell ref="K24:K25"/>
    <mergeCell ref="L24:L25"/>
    <mergeCell ref="M24:M25"/>
    <mergeCell ref="A26:A27"/>
    <mergeCell ref="F26:F27"/>
    <mergeCell ref="G26:G27"/>
    <mergeCell ref="H26:H27"/>
    <mergeCell ref="I26:I27"/>
    <mergeCell ref="J26:J27"/>
    <mergeCell ref="I22:I23"/>
    <mergeCell ref="J22:J23"/>
    <mergeCell ref="K22:K23"/>
    <mergeCell ref="L22:L23"/>
    <mergeCell ref="M22:M23"/>
    <mergeCell ref="A24:A25"/>
    <mergeCell ref="F24:F25"/>
    <mergeCell ref="G24:G25"/>
    <mergeCell ref="H24:H25"/>
    <mergeCell ref="I24:I25"/>
    <mergeCell ref="A21:E21"/>
    <mergeCell ref="F21:M21"/>
    <mergeCell ref="A22:A23"/>
    <mergeCell ref="B22:B23"/>
    <mergeCell ref="C22:C23"/>
    <mergeCell ref="D22:D23"/>
    <mergeCell ref="E22:E23"/>
    <mergeCell ref="F22:F23"/>
    <mergeCell ref="G22:G23"/>
    <mergeCell ref="H22:H23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</mergeCells>
  <phoneticPr fontId="1" type="noConversion"/>
  <conditionalFormatting sqref="J14 J19">
    <cfRule type="cellIs" dxfId="497" priority="45" operator="lessThan">
      <formula>10</formula>
    </cfRule>
  </conditionalFormatting>
  <conditionalFormatting sqref="J14">
    <cfRule type="cellIs" dxfId="496" priority="44" operator="equal">
      <formula>-36</formula>
    </cfRule>
  </conditionalFormatting>
  <conditionalFormatting sqref="L14 L19">
    <cfRule type="cellIs" dxfId="495" priority="43" operator="equal">
      <formula>"Fail"</formula>
    </cfRule>
  </conditionalFormatting>
  <conditionalFormatting sqref="J24">
    <cfRule type="cellIs" dxfId="494" priority="41" operator="equal">
      <formula>-30</formula>
    </cfRule>
    <cfRule type="cellIs" dxfId="493" priority="42" operator="lessThan">
      <formula>10</formula>
    </cfRule>
  </conditionalFormatting>
  <conditionalFormatting sqref="L24">
    <cfRule type="cellIs" dxfId="492" priority="40" operator="equal">
      <formula>"Fail"</formula>
    </cfRule>
  </conditionalFormatting>
  <conditionalFormatting sqref="L26">
    <cfRule type="cellIs" dxfId="491" priority="39" operator="equal">
      <formula>"Fail"</formula>
    </cfRule>
  </conditionalFormatting>
  <conditionalFormatting sqref="L28">
    <cfRule type="cellIs" dxfId="490" priority="38" operator="equal">
      <formula>"Fail"</formula>
    </cfRule>
  </conditionalFormatting>
  <conditionalFormatting sqref="L30">
    <cfRule type="cellIs" dxfId="489" priority="37" operator="equal">
      <formula>"Fail"</formula>
    </cfRule>
  </conditionalFormatting>
  <conditionalFormatting sqref="V33">
    <cfRule type="cellIs" dxfId="488" priority="36" operator="equal">
      <formula>"Fail"</formula>
    </cfRule>
  </conditionalFormatting>
  <conditionalFormatting sqref="L14:L15 L19:L20 L24:L31">
    <cfRule type="cellIs" dxfId="487" priority="35" operator="equal">
      <formula>"Pass"</formula>
    </cfRule>
  </conditionalFormatting>
  <conditionalFormatting sqref="L37">
    <cfRule type="cellIs" dxfId="486" priority="34" operator="equal">
      <formula>"Fail"</formula>
    </cfRule>
  </conditionalFormatting>
  <conditionalFormatting sqref="L37:L38">
    <cfRule type="cellIs" dxfId="485" priority="33" operator="equal">
      <formula>"Pass"</formula>
    </cfRule>
  </conditionalFormatting>
  <conditionalFormatting sqref="L42">
    <cfRule type="cellIs" dxfId="484" priority="32" operator="equal">
      <formula>"Fail"</formula>
    </cfRule>
  </conditionalFormatting>
  <conditionalFormatting sqref="L42:L43">
    <cfRule type="cellIs" dxfId="483" priority="31" operator="equal">
      <formula>"Pass"</formula>
    </cfRule>
  </conditionalFormatting>
  <conditionalFormatting sqref="B14:D15">
    <cfRule type="top10" dxfId="482" priority="30" rank="1"/>
  </conditionalFormatting>
  <conditionalFormatting sqref="B19:D20">
    <cfRule type="top10" dxfId="481" priority="29" rank="1"/>
  </conditionalFormatting>
  <conditionalFormatting sqref="B24:D25">
    <cfRule type="top10" dxfId="480" priority="28" rank="1"/>
  </conditionalFormatting>
  <conditionalFormatting sqref="B26:D27">
    <cfRule type="top10" dxfId="479" priority="27" rank="1"/>
  </conditionalFormatting>
  <conditionalFormatting sqref="B28:D29">
    <cfRule type="top10" dxfId="478" priority="26" rank="1"/>
  </conditionalFormatting>
  <conditionalFormatting sqref="B30:D31">
    <cfRule type="top10" dxfId="477" priority="25" rank="1"/>
  </conditionalFormatting>
  <conditionalFormatting sqref="J26 J28 J30">
    <cfRule type="cellIs" dxfId="476" priority="23" operator="equal">
      <formula>-30</formula>
    </cfRule>
    <cfRule type="cellIs" dxfId="475" priority="24" operator="lessThan">
      <formula>10</formula>
    </cfRule>
  </conditionalFormatting>
  <conditionalFormatting sqref="J56 J61">
    <cfRule type="cellIs" dxfId="474" priority="22" operator="lessThan">
      <formula>10</formula>
    </cfRule>
  </conditionalFormatting>
  <conditionalFormatting sqref="J56">
    <cfRule type="cellIs" dxfId="473" priority="21" operator="equal">
      <formula>-36</formula>
    </cfRule>
  </conditionalFormatting>
  <conditionalFormatting sqref="L56 L61">
    <cfRule type="cellIs" dxfId="472" priority="20" operator="equal">
      <formula>"Fail"</formula>
    </cfRule>
  </conditionalFormatting>
  <conditionalFormatting sqref="J66">
    <cfRule type="cellIs" dxfId="471" priority="18" operator="equal">
      <formula>-30</formula>
    </cfRule>
    <cfRule type="cellIs" dxfId="470" priority="19" operator="lessThan">
      <formula>10</formula>
    </cfRule>
  </conditionalFormatting>
  <conditionalFormatting sqref="L66">
    <cfRule type="cellIs" dxfId="469" priority="17" operator="equal">
      <formula>"Fail"</formula>
    </cfRule>
  </conditionalFormatting>
  <conditionalFormatting sqref="L68">
    <cfRule type="cellIs" dxfId="468" priority="16" operator="equal">
      <formula>"Fail"</formula>
    </cfRule>
  </conditionalFormatting>
  <conditionalFormatting sqref="L70">
    <cfRule type="cellIs" dxfId="467" priority="15" operator="equal">
      <formula>"Fail"</formula>
    </cfRule>
  </conditionalFormatting>
  <conditionalFormatting sqref="L72">
    <cfRule type="cellIs" dxfId="466" priority="14" operator="equal">
      <formula>"Fail"</formula>
    </cfRule>
  </conditionalFormatting>
  <conditionalFormatting sqref="L56:L57 L61:L62 L66:L73">
    <cfRule type="cellIs" dxfId="465" priority="13" operator="equal">
      <formula>"Pass"</formula>
    </cfRule>
  </conditionalFormatting>
  <conditionalFormatting sqref="L79">
    <cfRule type="cellIs" dxfId="464" priority="12" operator="equal">
      <formula>"Fail"</formula>
    </cfRule>
  </conditionalFormatting>
  <conditionalFormatting sqref="L79:L80">
    <cfRule type="cellIs" dxfId="463" priority="11" operator="equal">
      <formula>"Pass"</formula>
    </cfRule>
  </conditionalFormatting>
  <conditionalFormatting sqref="L84">
    <cfRule type="cellIs" dxfId="462" priority="10" operator="equal">
      <formula>"Fail"</formula>
    </cfRule>
  </conditionalFormatting>
  <conditionalFormatting sqref="L84:L85">
    <cfRule type="cellIs" dxfId="461" priority="9" operator="equal">
      <formula>"Pass"</formula>
    </cfRule>
  </conditionalFormatting>
  <conditionalFormatting sqref="B56:D57">
    <cfRule type="top10" dxfId="460" priority="8" rank="1"/>
  </conditionalFormatting>
  <conditionalFormatting sqref="B61:D62">
    <cfRule type="top10" dxfId="459" priority="7" rank="1"/>
  </conditionalFormatting>
  <conditionalFormatting sqref="B66:D73">
    <cfRule type="top10" dxfId="458" priority="6" rank="1"/>
  </conditionalFormatting>
  <conditionalFormatting sqref="B68:D69">
    <cfRule type="top10" dxfId="457" priority="5" rank="1"/>
  </conditionalFormatting>
  <conditionalFormatting sqref="B70:D71">
    <cfRule type="top10" dxfId="456" priority="4" rank="1"/>
  </conditionalFormatting>
  <conditionalFormatting sqref="B72:D73">
    <cfRule type="top10" dxfId="455" priority="3" rank="1"/>
  </conditionalFormatting>
  <conditionalFormatting sqref="J68 J70 J72">
    <cfRule type="cellIs" dxfId="454" priority="1" operator="equal">
      <formula>-30</formula>
    </cfRule>
    <cfRule type="cellIs" dxfId="453" priority="2" operator="lessThan">
      <formula>10</formula>
    </cfRule>
  </conditionalFormatting>
  <dataValidations count="1">
    <dataValidation type="list" allowBlank="1" showInputMessage="1" showErrorMessage="1" sqref="M14 M19 M30 M24 M26 M28 M37:M38 M56 M61 M72 M66 M68 M70 M84:M85 M79:M80 M42:M43" xr:uid="{5E9CCBFD-2DE8-4AE8-9AF0-B48003C8D3A4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8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29E6F-E116-40A3-A806-2CD7BEB80E74}">
  <dimension ref="A1:P75"/>
  <sheetViews>
    <sheetView view="pageBreakPreview" zoomScale="85" zoomScaleNormal="100" zoomScaleSheetLayoutView="85" workbookViewId="0">
      <selection activeCell="F46" sqref="F46:M47"/>
    </sheetView>
  </sheetViews>
  <sheetFormatPr defaultRowHeight="16.5" outlineLevelCol="1" x14ac:dyDescent="0.3"/>
  <cols>
    <col min="1" max="11" width="12.625" style="6" customWidth="1"/>
    <col min="12" max="13" width="12.625" hidden="1" customWidth="1" outlineLevel="1"/>
    <col min="14" max="14" width="12.625" customWidth="1" collapsed="1"/>
    <col min="15" max="22" width="12.625" customWidth="1"/>
  </cols>
  <sheetData>
    <row r="1" spans="1:13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3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46</v>
      </c>
      <c r="H2" s="28"/>
      <c r="I2" s="28"/>
      <c r="J2" s="28"/>
      <c r="K2" s="28"/>
      <c r="L2" s="28"/>
      <c r="M2" s="29"/>
    </row>
    <row r="3" spans="1:13" ht="24.95" customHeight="1" x14ac:dyDescent="0.3">
      <c r="A3" s="30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3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3" ht="20.100000000000001" customHeight="1" x14ac:dyDescent="0.3">
      <c r="A7" s="62" t="s">
        <v>52</v>
      </c>
      <c r="B7" s="36"/>
      <c r="C7" s="36"/>
      <c r="D7" s="36"/>
      <c r="E7" s="36"/>
      <c r="F7" s="36"/>
      <c r="G7" s="36"/>
      <c r="H7" s="37">
        <v>15</v>
      </c>
      <c r="I7" s="37"/>
      <c r="J7" s="39"/>
      <c r="K7" s="40"/>
      <c r="L7" s="40"/>
      <c r="M7" s="41"/>
    </row>
    <row r="8" spans="1:13" ht="20.100000000000001" customHeight="1" thickBot="1" x14ac:dyDescent="0.35">
      <c r="A8" s="63"/>
      <c r="B8" s="37"/>
      <c r="C8" s="37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3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3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</row>
    <row r="11" spans="1:13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3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212" t="s">
        <v>18</v>
      </c>
      <c r="M12" s="206" t="s">
        <v>8</v>
      </c>
    </row>
    <row r="13" spans="1:13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213"/>
      <c r="M13" s="207"/>
    </row>
    <row r="14" spans="1:13" ht="21.95" customHeight="1" x14ac:dyDescent="0.3">
      <c r="A14" s="95" t="s">
        <v>26</v>
      </c>
      <c r="B14" s="3"/>
      <c r="C14" s="3"/>
      <c r="D14" s="3"/>
      <c r="E14" s="11" t="s">
        <v>27</v>
      </c>
      <c r="F14" s="226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208" t="str">
        <f>IF(OR(COUNTIF(B14:D15, "-")+COUNTBLANK(B14:D15)=6), "Pass", IF(H14 &gt; I14, "Fail", IF(J14 &lt; 3, "Margin 부족", "Pass")))</f>
        <v>Pass</v>
      </c>
      <c r="M14" s="224" t="s">
        <v>12</v>
      </c>
    </row>
    <row r="15" spans="1:13" ht="21.95" customHeight="1" thickBot="1" x14ac:dyDescent="0.35">
      <c r="A15" s="96"/>
      <c r="B15" s="7"/>
      <c r="C15" s="7"/>
      <c r="D15" s="7"/>
      <c r="E15" s="12" t="s">
        <v>28</v>
      </c>
      <c r="F15" s="227"/>
      <c r="G15" s="100"/>
      <c r="H15" s="102"/>
      <c r="I15" s="104"/>
      <c r="J15" s="106"/>
      <c r="K15" s="90"/>
      <c r="L15" s="209"/>
      <c r="M15" s="225"/>
    </row>
    <row r="16" spans="1:13" ht="21.95" customHeight="1" thickBot="1" x14ac:dyDescent="0.35">
      <c r="A16" s="120" t="s">
        <v>53</v>
      </c>
      <c r="B16" s="121"/>
      <c r="C16" s="121"/>
      <c r="D16" s="121"/>
      <c r="E16" s="121"/>
      <c r="F16" s="122" t="s">
        <v>53</v>
      </c>
      <c r="G16" s="123"/>
      <c r="H16" s="123"/>
      <c r="I16" s="123"/>
      <c r="J16" s="70"/>
      <c r="K16" s="123"/>
      <c r="L16" s="124"/>
      <c r="M16" s="125"/>
    </row>
    <row r="17" spans="1:16" ht="21.95" customHeight="1" thickTop="1" x14ac:dyDescent="0.3">
      <c r="A17" s="126" t="s">
        <v>43</v>
      </c>
      <c r="B17" s="128" t="s">
        <v>14</v>
      </c>
      <c r="C17" s="128" t="s">
        <v>15</v>
      </c>
      <c r="D17" s="128" t="s">
        <v>16</v>
      </c>
      <c r="E17" s="130" t="s">
        <v>17</v>
      </c>
      <c r="F17" s="126" t="s">
        <v>43</v>
      </c>
      <c r="G17" s="132" t="s">
        <v>17</v>
      </c>
      <c r="H17" s="132" t="s">
        <v>29</v>
      </c>
      <c r="I17" s="133" t="s">
        <v>41</v>
      </c>
      <c r="J17" s="81" t="s">
        <v>42</v>
      </c>
      <c r="K17" s="134" t="s">
        <v>10</v>
      </c>
      <c r="L17" s="220" t="s">
        <v>18</v>
      </c>
      <c r="M17" s="222" t="s">
        <v>8</v>
      </c>
    </row>
    <row r="18" spans="1:16" ht="21.75" customHeight="1" x14ac:dyDescent="0.3">
      <c r="A18" s="127"/>
      <c r="B18" s="129"/>
      <c r="C18" s="129"/>
      <c r="D18" s="129"/>
      <c r="E18" s="131"/>
      <c r="F18" s="127"/>
      <c r="G18" s="78"/>
      <c r="H18" s="78"/>
      <c r="I18" s="80"/>
      <c r="J18" s="82"/>
      <c r="K18" s="135"/>
      <c r="L18" s="221"/>
      <c r="M18" s="223"/>
    </row>
    <row r="19" spans="1:16" ht="21.95" customHeight="1" x14ac:dyDescent="0.3">
      <c r="A19" s="140">
        <f>J7*2</f>
        <v>0</v>
      </c>
      <c r="B19" s="4"/>
      <c r="C19" s="4"/>
      <c r="D19" s="4"/>
      <c r="E19" s="13" t="s">
        <v>1</v>
      </c>
      <c r="F19" s="142">
        <f>$A$19</f>
        <v>0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43" t="str">
        <f>IF(OR(I19-H19&gt;10,I19-H19=-30),"No Peak Found",I19-H19)</f>
        <v>No Peak Found</v>
      </c>
      <c r="K19" s="144" t="s">
        <v>9</v>
      </c>
      <c r="L19" s="216" t="str">
        <f>IF(OR(COUNTIF(B19:D20, "-")+COUNTBLANK(B19:D20)=6), "Pass", IF(H19 &gt; I19, "Fail", IF(J19 &lt; 3, "Margin 부족", "Pass")))</f>
        <v>Pass</v>
      </c>
      <c r="M19" s="214" t="s">
        <v>11</v>
      </c>
    </row>
    <row r="20" spans="1:16" ht="21.95" customHeight="1" x14ac:dyDescent="0.3">
      <c r="A20" s="141"/>
      <c r="B20" s="4"/>
      <c r="C20" s="4"/>
      <c r="D20" s="4"/>
      <c r="E20" s="13" t="s">
        <v>0</v>
      </c>
      <c r="F20" s="142"/>
      <c r="G20" s="99"/>
      <c r="H20" s="101"/>
      <c r="I20" s="103"/>
      <c r="J20" s="143"/>
      <c r="K20" s="144"/>
      <c r="L20" s="217"/>
      <c r="M20" s="218"/>
    </row>
    <row r="21" spans="1:16" ht="21.95" customHeight="1" x14ac:dyDescent="0.3">
      <c r="A21" s="140">
        <f>J7*3</f>
        <v>0</v>
      </c>
      <c r="B21" s="4"/>
      <c r="C21" s="4"/>
      <c r="D21" s="4"/>
      <c r="E21" s="13" t="s">
        <v>1</v>
      </c>
      <c r="F21" s="148">
        <f>$A$21</f>
        <v>0</v>
      </c>
      <c r="G21" s="99" t="str">
        <f>IF(COUNT(B21:D21)=0, "H", IF(COUNT(B22:D22)=0, "V", IF(MAX(B21:D21) &gt;= MAX(B22:D22), "V", "H")))</f>
        <v>H</v>
      </c>
      <c r="H21" s="101">
        <f>MAX(B21:D22)</f>
        <v>0</v>
      </c>
      <c r="I21" s="149">
        <v>-30</v>
      </c>
      <c r="J21" s="143" t="str">
        <f t="shared" ref="J21" si="0">IF(OR(I21-H21&gt;10,I21-H21=-30),"No Peak Found",I21-H21)</f>
        <v>No Peak Found</v>
      </c>
      <c r="K21" s="150" t="s">
        <v>9</v>
      </c>
      <c r="L21" s="216" t="str">
        <f>IF(OR(COUNTIF(B21:D22, "-")+COUNTBLANK(B21:D22)=6), "Pass", IF(H21 &gt; I21, "Fail", IF(J21 &lt; 3, "Margin 부족", "Pass")))</f>
        <v>Pass</v>
      </c>
      <c r="M21" s="214" t="s">
        <v>11</v>
      </c>
    </row>
    <row r="22" spans="1:16" ht="21.95" customHeight="1" x14ac:dyDescent="0.3">
      <c r="A22" s="141"/>
      <c r="B22" s="4"/>
      <c r="C22" s="4"/>
      <c r="D22" s="4"/>
      <c r="E22" s="13" t="s">
        <v>0</v>
      </c>
      <c r="F22" s="148"/>
      <c r="G22" s="99"/>
      <c r="H22" s="101"/>
      <c r="I22" s="149"/>
      <c r="J22" s="143"/>
      <c r="K22" s="150"/>
      <c r="L22" s="217"/>
      <c r="M22" s="218"/>
      <c r="N22" s="8" t="s">
        <v>8</v>
      </c>
      <c r="O22" s="6"/>
      <c r="P22" s="6"/>
    </row>
    <row r="23" spans="1:16" ht="21.95" customHeight="1" x14ac:dyDescent="0.3">
      <c r="A23" s="140">
        <f>J7*4</f>
        <v>0</v>
      </c>
      <c r="B23" s="4"/>
      <c r="C23" s="4"/>
      <c r="D23" s="4"/>
      <c r="E23" s="13" t="s">
        <v>1</v>
      </c>
      <c r="F23" s="142">
        <f>$A$23</f>
        <v>0</v>
      </c>
      <c r="G23" s="99" t="str">
        <f>IF(COUNT(B23:D23)=0, "H", IF(COUNT(B24:D24)=0, "V", IF(MAX(B23:D23) &gt;= MAX(B24:D24), "V", "H")))</f>
        <v>H</v>
      </c>
      <c r="H23" s="101">
        <f>MAX(B23:D24)</f>
        <v>0</v>
      </c>
      <c r="I23" s="149">
        <v>-30</v>
      </c>
      <c r="J23" s="143" t="str">
        <f t="shared" ref="J23" si="1">IF(OR(I23-H23&gt;10,I23-H23=-30),"No Peak Found",I23-H23)</f>
        <v>No Peak Found</v>
      </c>
      <c r="K23" s="171" t="s">
        <v>9</v>
      </c>
      <c r="L23" s="216" t="str">
        <f>IF(OR(COUNTIF(B23:D24, "-")+COUNTBLANK(B23:D24)=6), "Pass", IF(H23 &gt; I23, "Fail", IF(J23 &lt; 3, "Margin 부족", "Pass")))</f>
        <v>Pass</v>
      </c>
      <c r="M23" s="214" t="s">
        <v>11</v>
      </c>
      <c r="N23" s="163" t="str">
        <f>"1. Sub6 NR Band : " &amp; VALUE(RIGHT(A7, LEN(A7)-1))</f>
        <v>1. Sub6 NR Band : 8</v>
      </c>
      <c r="O23" s="164"/>
      <c r="P23" s="164"/>
    </row>
    <row r="24" spans="1:16" ht="21.95" customHeight="1" x14ac:dyDescent="0.3">
      <c r="A24" s="141"/>
      <c r="B24" s="4"/>
      <c r="C24" s="4"/>
      <c r="D24" s="4"/>
      <c r="E24" s="13" t="s">
        <v>0</v>
      </c>
      <c r="F24" s="142"/>
      <c r="G24" s="99"/>
      <c r="H24" s="101"/>
      <c r="I24" s="149"/>
      <c r="J24" s="143"/>
      <c r="K24" s="171"/>
      <c r="L24" s="217"/>
      <c r="M24" s="218"/>
      <c r="N24" s="152" t="str">
        <f>"2. SCS : " &amp; H7 &amp; " kHz"</f>
        <v>2. SCS : 15 kHz</v>
      </c>
      <c r="O24" s="153"/>
      <c r="P24" s="153"/>
    </row>
    <row r="25" spans="1:16" ht="21.95" customHeight="1" x14ac:dyDescent="0.3">
      <c r="A25" s="140">
        <f>J7*5</f>
        <v>0</v>
      </c>
      <c r="B25" s="4"/>
      <c r="C25" s="4"/>
      <c r="D25" s="4"/>
      <c r="E25" s="13" t="s">
        <v>1</v>
      </c>
      <c r="F25" s="148">
        <f>$A$25</f>
        <v>0</v>
      </c>
      <c r="G25" s="99" t="str">
        <f>IF(COUNT(B25:D25)=0, "H", IF(COUNT(B26:D26)=0, "V", IF(MAX(B25:D25) &gt;= MAX(B26:D26), "V", "H")))</f>
        <v>H</v>
      </c>
      <c r="H25" s="101">
        <f>MAX(B25:D26)</f>
        <v>0</v>
      </c>
      <c r="I25" s="149">
        <v>-30</v>
      </c>
      <c r="J25" s="143" t="str">
        <f t="shared" ref="J25" si="2">IF(OR(I25-H25&gt;10,I25-H25=-30),"No Peak Found",I25-H25)</f>
        <v>No Peak Found</v>
      </c>
      <c r="K25" s="171" t="s">
        <v>9</v>
      </c>
      <c r="L25" s="216" t="str">
        <f>IF(OR(COUNTIF(B25:D26, "-")+COUNTBLANK(B25:D26)=6), "Pass", IF(H25 &gt; I25, "Fail", IF(J25 &lt; 3, "Margin 부족", "Pass")))</f>
        <v>Pass</v>
      </c>
      <c r="M25" s="214" t="s">
        <v>11</v>
      </c>
      <c r="N25" s="152" t="str">
        <f>"3. The test was performed the " &amp; I7 &amp; " antenna."</f>
        <v>3. The test was performed the  antenna.</v>
      </c>
      <c r="O25" s="153"/>
      <c r="P25" s="153"/>
    </row>
    <row r="26" spans="1:16" ht="21.95" customHeight="1" thickBot="1" x14ac:dyDescent="0.35">
      <c r="A26" s="165"/>
      <c r="B26" s="9"/>
      <c r="C26" s="9"/>
      <c r="D26" s="9"/>
      <c r="E26" s="14" t="s">
        <v>28</v>
      </c>
      <c r="F26" s="166"/>
      <c r="G26" s="167"/>
      <c r="H26" s="168"/>
      <c r="I26" s="169"/>
      <c r="J26" s="170"/>
      <c r="K26" s="172"/>
      <c r="L26" s="219"/>
      <c r="M26" s="215"/>
      <c r="N26" s="152" t="str">
        <f>"4. " &amp; LEFT(A9, FIND(" ", A9 &amp; " ") - 1) &amp; " Mode Test."</f>
        <v>4. NSA Mode Test.</v>
      </c>
      <c r="O26" s="154"/>
      <c r="P26" s="154"/>
    </row>
    <row r="27" spans="1:16" ht="24.95" customHeight="1" x14ac:dyDescent="0.3">
      <c r="A27" s="155" t="s">
        <v>32</v>
      </c>
      <c r="B27" s="156"/>
      <c r="C27" s="156"/>
      <c r="D27" s="156"/>
      <c r="E27" s="157"/>
      <c r="F27" s="159" t="s">
        <v>49</v>
      </c>
      <c r="G27" s="159"/>
      <c r="H27" s="159"/>
      <c r="I27" s="159"/>
      <c r="J27" s="159"/>
      <c r="K27" s="159"/>
      <c r="L27" s="159"/>
      <c r="M27" s="160"/>
    </row>
    <row r="28" spans="1:16" ht="24.95" customHeight="1" x14ac:dyDescent="0.3">
      <c r="A28" s="158"/>
      <c r="B28" s="156"/>
      <c r="C28" s="156"/>
      <c r="D28" s="156"/>
      <c r="E28" s="157"/>
      <c r="F28" s="161"/>
      <c r="G28" s="161"/>
      <c r="H28" s="161"/>
      <c r="I28" s="161"/>
      <c r="J28" s="161"/>
      <c r="K28" s="161"/>
      <c r="L28" s="161"/>
      <c r="M28" s="162"/>
    </row>
    <row r="29" spans="1:16" ht="21.95" customHeight="1" thickBot="1" x14ac:dyDescent="0.35">
      <c r="A29" s="174" t="s">
        <v>6</v>
      </c>
      <c r="B29" s="175"/>
      <c r="C29" s="175"/>
      <c r="D29" s="175"/>
      <c r="E29" s="176"/>
      <c r="F29" s="177" t="s">
        <v>6</v>
      </c>
      <c r="G29" s="177"/>
      <c r="H29" s="177"/>
      <c r="I29" s="177"/>
      <c r="J29" s="177"/>
      <c r="K29" s="177"/>
      <c r="L29" s="177"/>
      <c r="M29" s="177"/>
    </row>
    <row r="30" spans="1:16" ht="21.95" customHeight="1" thickTop="1" x14ac:dyDescent="0.3">
      <c r="A30" s="71" t="s">
        <v>43</v>
      </c>
      <c r="B30" s="73" t="s">
        <v>14</v>
      </c>
      <c r="C30" s="73" t="s">
        <v>15</v>
      </c>
      <c r="D30" s="73" t="s">
        <v>16</v>
      </c>
      <c r="E30" s="75" t="s">
        <v>17</v>
      </c>
      <c r="F30" s="71" t="s">
        <v>43</v>
      </c>
      <c r="G30" s="77" t="s">
        <v>17</v>
      </c>
      <c r="H30" s="77" t="s">
        <v>29</v>
      </c>
      <c r="I30" s="79" t="s">
        <v>41</v>
      </c>
      <c r="J30" s="81" t="s">
        <v>42</v>
      </c>
      <c r="K30" s="187" t="s">
        <v>10</v>
      </c>
      <c r="L30" s="212" t="s">
        <v>18</v>
      </c>
      <c r="M30" s="206" t="s">
        <v>8</v>
      </c>
    </row>
    <row r="31" spans="1:16" ht="21.95" customHeight="1" x14ac:dyDescent="0.3">
      <c r="A31" s="72"/>
      <c r="B31" s="74"/>
      <c r="C31" s="74"/>
      <c r="D31" s="74"/>
      <c r="E31" s="76"/>
      <c r="F31" s="72"/>
      <c r="G31" s="78"/>
      <c r="H31" s="78"/>
      <c r="I31" s="80"/>
      <c r="J31" s="82"/>
      <c r="K31" s="188"/>
      <c r="L31" s="213"/>
      <c r="M31" s="207"/>
    </row>
    <row r="32" spans="1:16" ht="21.95" customHeight="1" x14ac:dyDescent="0.3">
      <c r="A32" s="189" t="s">
        <v>26</v>
      </c>
      <c r="B32" s="10"/>
      <c r="C32" s="1"/>
      <c r="D32" s="1"/>
      <c r="E32" s="11" t="s">
        <v>27</v>
      </c>
      <c r="F32" s="191" t="str">
        <f>A32</f>
        <v>Spurious</v>
      </c>
      <c r="G32" s="193" t="str">
        <f>IF(COUNT(B32:D32)=0, "H", IF(COUNT(B33:D33)=0, "V", IF(MAX(B32:D32) &gt;= MAX(B33:D33), "V", "H")))</f>
        <v>H</v>
      </c>
      <c r="H32" s="195">
        <f>MAX(B32:D33)</f>
        <v>0</v>
      </c>
      <c r="I32" s="197">
        <v>-57</v>
      </c>
      <c r="J32" s="178" t="str">
        <f>IF(OR(I32-H32&gt;10,I32-H32=-57),"No Peak Found",I32-H32)</f>
        <v>No Peak Found</v>
      </c>
      <c r="K32" s="180" t="s">
        <v>9</v>
      </c>
      <c r="L32" s="208" t="str">
        <f>IF(OR(COUNTIF(B32:D33, "-")+COUNTBLANK(B32:D33)=6), "Pass", IF(H32 &gt; I32, "Fail", IF(J32 &lt; 3, "Margin 부족", "Pass")))</f>
        <v>Pass</v>
      </c>
      <c r="M32" s="210" t="s">
        <v>12</v>
      </c>
    </row>
    <row r="33" spans="1:13" ht="21.95" customHeight="1" thickBot="1" x14ac:dyDescent="0.35">
      <c r="A33" s="190"/>
      <c r="B33" s="2"/>
      <c r="C33" s="2"/>
      <c r="D33" s="2"/>
      <c r="E33" s="12" t="s">
        <v>28</v>
      </c>
      <c r="F33" s="192"/>
      <c r="G33" s="194"/>
      <c r="H33" s="196"/>
      <c r="I33" s="198"/>
      <c r="J33" s="179"/>
      <c r="K33" s="181"/>
      <c r="L33" s="209"/>
      <c r="M33" s="211"/>
    </row>
    <row r="34" spans="1:13" ht="21.95" customHeight="1" thickBot="1" x14ac:dyDescent="0.35">
      <c r="A34" s="184" t="s">
        <v>33</v>
      </c>
      <c r="B34" s="185"/>
      <c r="C34" s="185"/>
      <c r="D34" s="185"/>
      <c r="E34" s="186"/>
      <c r="F34" s="70" t="s">
        <v>33</v>
      </c>
      <c r="G34" s="70"/>
      <c r="H34" s="70"/>
      <c r="I34" s="70"/>
      <c r="J34" s="70"/>
      <c r="K34" s="70"/>
      <c r="L34" s="70"/>
      <c r="M34" s="70"/>
    </row>
    <row r="35" spans="1:13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212" t="s">
        <v>18</v>
      </c>
      <c r="M35" s="206" t="s">
        <v>8</v>
      </c>
    </row>
    <row r="36" spans="1:13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213"/>
      <c r="M36" s="207"/>
    </row>
    <row r="37" spans="1:13" ht="21.95" customHeight="1" x14ac:dyDescent="0.3">
      <c r="A37" s="189" t="s">
        <v>26</v>
      </c>
      <c r="B37" s="3"/>
      <c r="C37" s="3"/>
      <c r="D37" s="3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-47</v>
      </c>
      <c r="J37" s="178" t="str">
        <f>IF(OR(I37-H37&gt;10,I37-H37=-47),"No Peak Found",I37-H37)</f>
        <v>No Peak Found</v>
      </c>
      <c r="K37" s="180" t="s">
        <v>9</v>
      </c>
      <c r="L37" s="208" t="str">
        <f>IF(OR(COUNTIF(B37:D38, "-")+COUNTBLANK(B37:D38)=6), "Pass", IF(H37 &gt; I37, "Fail", IF(J37 &lt; 3, "Margin 부족", "Pass")))</f>
        <v>Pass</v>
      </c>
      <c r="M37" s="210" t="s">
        <v>12</v>
      </c>
    </row>
    <row r="38" spans="1:13" ht="21.95" customHeight="1" thickBot="1" x14ac:dyDescent="0.35">
      <c r="A38" s="190"/>
      <c r="B38" s="7"/>
      <c r="C38" s="7"/>
      <c r="D38" s="7"/>
      <c r="E38" s="12" t="s">
        <v>28</v>
      </c>
      <c r="F38" s="192"/>
      <c r="G38" s="194"/>
      <c r="H38" s="196"/>
      <c r="I38" s="198"/>
      <c r="J38" s="179"/>
      <c r="K38" s="181"/>
      <c r="L38" s="209"/>
      <c r="M38" s="211"/>
    </row>
    <row r="39" spans="1:13" ht="21.95" customHeight="1" thickBot="1" x14ac:dyDescent="0.35"/>
    <row r="40" spans="1:13" ht="21.95" customHeight="1" x14ac:dyDescent="0.3">
      <c r="A40" s="30" t="s">
        <v>67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2"/>
    </row>
    <row r="41" spans="1:13" ht="21.95" customHeight="1" thickBot="1" x14ac:dyDescent="0.35">
      <c r="A41" s="3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5"/>
    </row>
    <row r="42" spans="1:13" ht="21.95" customHeight="1" x14ac:dyDescent="0.3">
      <c r="A42" s="52" t="s">
        <v>19</v>
      </c>
      <c r="B42" s="66" t="s">
        <v>47</v>
      </c>
      <c r="C42" s="52" t="s">
        <v>22</v>
      </c>
      <c r="D42" s="52" t="s">
        <v>23</v>
      </c>
      <c r="E42" s="52" t="s">
        <v>20</v>
      </c>
      <c r="F42" s="52" t="s">
        <v>21</v>
      </c>
      <c r="G42" s="52" t="s">
        <v>24</v>
      </c>
      <c r="H42" s="54" t="s">
        <v>39</v>
      </c>
      <c r="I42" s="55" t="s">
        <v>37</v>
      </c>
      <c r="J42" s="56" t="s">
        <v>40</v>
      </c>
      <c r="K42" s="57"/>
      <c r="L42" s="57"/>
      <c r="M42" s="58"/>
    </row>
    <row r="43" spans="1:13" ht="21.95" customHeight="1" x14ac:dyDescent="0.3">
      <c r="A43" s="53"/>
      <c r="B43" s="53"/>
      <c r="C43" s="53"/>
      <c r="D43" s="53"/>
      <c r="E43" s="53"/>
      <c r="F43" s="53"/>
      <c r="G43" s="53"/>
      <c r="H43" s="52"/>
      <c r="I43" s="52"/>
      <c r="J43" s="59"/>
      <c r="K43" s="60"/>
      <c r="L43" s="60"/>
      <c r="M43" s="61"/>
    </row>
    <row r="44" spans="1:13" ht="21.95" customHeight="1" x14ac:dyDescent="0.3">
      <c r="A44" s="62" t="s">
        <v>52</v>
      </c>
      <c r="B44" s="257"/>
      <c r="C44" s="36"/>
      <c r="D44" s="36"/>
      <c r="E44" s="36"/>
      <c r="F44" s="36"/>
      <c r="G44" s="36"/>
      <c r="H44" s="37">
        <v>15</v>
      </c>
      <c r="I44" s="37"/>
      <c r="J44" s="39"/>
      <c r="K44" s="40"/>
      <c r="L44" s="40"/>
      <c r="M44" s="41"/>
    </row>
    <row r="45" spans="1:13" ht="21.95" customHeight="1" thickBot="1" x14ac:dyDescent="0.35">
      <c r="A45" s="63"/>
      <c r="B45" s="258"/>
      <c r="C45" s="37"/>
      <c r="D45" s="37"/>
      <c r="E45" s="37"/>
      <c r="F45" s="37"/>
      <c r="G45" s="37"/>
      <c r="H45" s="38"/>
      <c r="I45" s="38"/>
      <c r="J45" s="42"/>
      <c r="K45" s="43"/>
      <c r="L45" s="43"/>
      <c r="M45" s="44"/>
    </row>
    <row r="46" spans="1:13" ht="21.95" customHeight="1" x14ac:dyDescent="0.3">
      <c r="A46" s="45" t="s">
        <v>44</v>
      </c>
      <c r="B46" s="46"/>
      <c r="C46" s="46"/>
      <c r="D46" s="46"/>
      <c r="E46" s="47"/>
      <c r="F46" s="51" t="s">
        <v>50</v>
      </c>
      <c r="G46" s="46"/>
      <c r="H46" s="46"/>
      <c r="I46" s="46"/>
      <c r="J46" s="46"/>
      <c r="K46" s="46"/>
      <c r="L46" s="46"/>
      <c r="M46" s="47"/>
    </row>
    <row r="47" spans="1:13" ht="21.95" customHeight="1" x14ac:dyDescent="0.3">
      <c r="A47" s="48"/>
      <c r="B47" s="49"/>
      <c r="C47" s="49"/>
      <c r="D47" s="49"/>
      <c r="E47" s="50"/>
      <c r="F47" s="49"/>
      <c r="G47" s="49"/>
      <c r="H47" s="49"/>
      <c r="I47" s="49"/>
      <c r="J47" s="49"/>
      <c r="K47" s="49"/>
      <c r="L47" s="49"/>
      <c r="M47" s="50"/>
    </row>
    <row r="48" spans="1:13" ht="21.95" customHeight="1" thickBot="1" x14ac:dyDescent="0.35">
      <c r="A48" s="67" t="s">
        <v>7</v>
      </c>
      <c r="B48" s="68"/>
      <c r="C48" s="68"/>
      <c r="D48" s="68"/>
      <c r="E48" s="69"/>
      <c r="F48" s="68" t="s">
        <v>7</v>
      </c>
      <c r="G48" s="68"/>
      <c r="H48" s="68"/>
      <c r="I48" s="68"/>
      <c r="J48" s="70"/>
      <c r="K48" s="68"/>
      <c r="L48" s="68"/>
      <c r="M48" s="69"/>
    </row>
    <row r="49" spans="1:16" ht="21.95" customHeight="1" thickTop="1" x14ac:dyDescent="0.3">
      <c r="A49" s="71" t="s">
        <v>43</v>
      </c>
      <c r="B49" s="73" t="s">
        <v>4</v>
      </c>
      <c r="C49" s="73" t="s">
        <v>15</v>
      </c>
      <c r="D49" s="73" t="s">
        <v>3</v>
      </c>
      <c r="E49" s="75" t="s">
        <v>2</v>
      </c>
      <c r="F49" s="71" t="s">
        <v>43</v>
      </c>
      <c r="G49" s="77" t="s">
        <v>17</v>
      </c>
      <c r="H49" s="77" t="s">
        <v>29</v>
      </c>
      <c r="I49" s="79" t="s">
        <v>41</v>
      </c>
      <c r="J49" s="81" t="s">
        <v>42</v>
      </c>
      <c r="K49" s="83" t="s">
        <v>10</v>
      </c>
      <c r="L49" s="212" t="s">
        <v>18</v>
      </c>
      <c r="M49" s="206" t="s">
        <v>8</v>
      </c>
    </row>
    <row r="50" spans="1:16" ht="21.95" customHeight="1" x14ac:dyDescent="0.3">
      <c r="A50" s="72"/>
      <c r="B50" s="74"/>
      <c r="C50" s="74"/>
      <c r="D50" s="74"/>
      <c r="E50" s="76"/>
      <c r="F50" s="72"/>
      <c r="G50" s="78"/>
      <c r="H50" s="78"/>
      <c r="I50" s="80"/>
      <c r="J50" s="82"/>
      <c r="K50" s="84"/>
      <c r="L50" s="213"/>
      <c r="M50" s="207"/>
    </row>
    <row r="51" spans="1:16" ht="21.95" customHeight="1" x14ac:dyDescent="0.3">
      <c r="A51" s="95" t="s">
        <v>26</v>
      </c>
      <c r="B51" s="3"/>
      <c r="C51" s="3"/>
      <c r="D51" s="3"/>
      <c r="E51" s="11" t="s">
        <v>27</v>
      </c>
      <c r="F51" s="97" t="str">
        <f>A51</f>
        <v>Spurious</v>
      </c>
      <c r="G51" s="99" t="str">
        <f>IF(COUNT(B51:D51)=0, "H", IF(COUNT(B52:D52)=0, "V", IF(MAX(B51:D51) &gt;= MAX(B52:D52), "V", "H")))</f>
        <v>H</v>
      </c>
      <c r="H51" s="101">
        <f>MAX(B51:D52)</f>
        <v>0</v>
      </c>
      <c r="I51" s="103">
        <v>-36</v>
      </c>
      <c r="J51" s="105" t="str">
        <f>IF(OR(I51-H51&gt;10,I51-H51=-36),"No Peak Found",I51-H51)</f>
        <v>No Peak Found</v>
      </c>
      <c r="K51" s="89" t="s">
        <v>9</v>
      </c>
      <c r="L51" s="208" t="str">
        <f>IF(OR(COUNTIF(B51:D52, "-")+COUNTBLANK(B51:D52)=6), "Pass", IF(H51 &gt; I51, "Fail", IF(J51 &lt; 3, "Margin 부족", "Pass")))</f>
        <v>Pass</v>
      </c>
      <c r="M51" s="224" t="s">
        <v>12</v>
      </c>
    </row>
    <row r="52" spans="1:16" ht="21.95" customHeight="1" thickBot="1" x14ac:dyDescent="0.35">
      <c r="A52" s="96"/>
      <c r="B52" s="7"/>
      <c r="C52" s="7"/>
      <c r="D52" s="7"/>
      <c r="E52" s="12" t="s">
        <v>28</v>
      </c>
      <c r="F52" s="98"/>
      <c r="G52" s="100"/>
      <c r="H52" s="102"/>
      <c r="I52" s="104"/>
      <c r="J52" s="106"/>
      <c r="K52" s="90"/>
      <c r="L52" s="209"/>
      <c r="M52" s="225"/>
    </row>
    <row r="53" spans="1:16" ht="21.95" customHeight="1" thickBot="1" x14ac:dyDescent="0.35">
      <c r="A53" s="120" t="s">
        <v>53</v>
      </c>
      <c r="B53" s="121"/>
      <c r="C53" s="121"/>
      <c r="D53" s="121"/>
      <c r="E53" s="121"/>
      <c r="F53" s="122" t="s">
        <v>53</v>
      </c>
      <c r="G53" s="123"/>
      <c r="H53" s="123"/>
      <c r="I53" s="123"/>
      <c r="J53" s="70"/>
      <c r="K53" s="123"/>
      <c r="L53" s="124"/>
      <c r="M53" s="125"/>
      <c r="N53" s="8" t="s">
        <v>8</v>
      </c>
      <c r="O53" s="6"/>
      <c r="P53" s="6"/>
    </row>
    <row r="54" spans="1:16" ht="21.95" customHeight="1" thickTop="1" x14ac:dyDescent="0.3">
      <c r="A54" s="126" t="s">
        <v>43</v>
      </c>
      <c r="B54" s="128" t="s">
        <v>14</v>
      </c>
      <c r="C54" s="128" t="s">
        <v>15</v>
      </c>
      <c r="D54" s="128" t="s">
        <v>16</v>
      </c>
      <c r="E54" s="130" t="s">
        <v>17</v>
      </c>
      <c r="F54" s="126" t="s">
        <v>43</v>
      </c>
      <c r="G54" s="132" t="s">
        <v>17</v>
      </c>
      <c r="H54" s="132" t="s">
        <v>29</v>
      </c>
      <c r="I54" s="133" t="s">
        <v>41</v>
      </c>
      <c r="J54" s="81" t="s">
        <v>42</v>
      </c>
      <c r="K54" s="134" t="s">
        <v>10</v>
      </c>
      <c r="L54" s="220" t="s">
        <v>18</v>
      </c>
      <c r="M54" s="222" t="s">
        <v>8</v>
      </c>
      <c r="N54" s="163" t="str">
        <f>"1. Sub6 NR Band : " &amp; VALUE(RIGHT(A7, LEN(A7)-1))</f>
        <v>1. Sub6 NR Band : 8</v>
      </c>
      <c r="O54" s="164"/>
      <c r="P54" s="164"/>
    </row>
    <row r="55" spans="1:16" ht="21.95" customHeight="1" x14ac:dyDescent="0.3">
      <c r="A55" s="127"/>
      <c r="B55" s="129"/>
      <c r="C55" s="129"/>
      <c r="D55" s="129"/>
      <c r="E55" s="131"/>
      <c r="F55" s="127"/>
      <c r="G55" s="78"/>
      <c r="H55" s="78"/>
      <c r="I55" s="80"/>
      <c r="J55" s="82"/>
      <c r="K55" s="135"/>
      <c r="L55" s="221"/>
      <c r="M55" s="223"/>
      <c r="N55" s="152" t="str">
        <f>"2. SCS : " &amp; H7 &amp; " kHz"</f>
        <v>2. SCS : 15 kHz</v>
      </c>
      <c r="O55" s="153"/>
      <c r="P55" s="153"/>
    </row>
    <row r="56" spans="1:16" ht="21.95" customHeight="1" x14ac:dyDescent="0.3">
      <c r="A56" s="140">
        <f>J7*2</f>
        <v>0</v>
      </c>
      <c r="B56" s="4"/>
      <c r="C56" s="4"/>
      <c r="D56" s="4"/>
      <c r="E56" s="13" t="s">
        <v>1</v>
      </c>
      <c r="F56" s="142">
        <f>$A$19</f>
        <v>0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-30</v>
      </c>
      <c r="J56" s="143" t="str">
        <f>IF(OR(I56-H56&gt;10,I56-H56=-30),"No Peak Found",I56-H56)</f>
        <v>No Peak Found</v>
      </c>
      <c r="K56" s="144" t="s">
        <v>9</v>
      </c>
      <c r="L56" s="216" t="str">
        <f>IF(OR(COUNTIF(B56:D57, "-")+COUNTBLANK(B56:D57)=6), "Pass", IF(H56 &gt; I56, "Fail", IF(J56 &lt; 3, "Margin 부족", "Pass")))</f>
        <v>Pass</v>
      </c>
      <c r="M56" s="214" t="s">
        <v>11</v>
      </c>
      <c r="N56" s="152" t="str">
        <f>"3. The test was performed the " &amp; I7 &amp; " antenna."</f>
        <v>3. The test was performed the  antenna.</v>
      </c>
      <c r="O56" s="153"/>
      <c r="P56" s="153"/>
    </row>
    <row r="57" spans="1:16" ht="21.95" customHeight="1" x14ac:dyDescent="0.3">
      <c r="A57" s="141"/>
      <c r="B57" s="4"/>
      <c r="C57" s="4"/>
      <c r="D57" s="4"/>
      <c r="E57" s="13" t="s">
        <v>0</v>
      </c>
      <c r="F57" s="142"/>
      <c r="G57" s="99"/>
      <c r="H57" s="101"/>
      <c r="I57" s="103"/>
      <c r="J57" s="143"/>
      <c r="K57" s="144"/>
      <c r="L57" s="217"/>
      <c r="M57" s="218"/>
      <c r="N57" s="152" t="str">
        <f>"4. " &amp; LEFT(A46, FIND(" ", A46 &amp; " ") - 1) &amp; " Mode Test."</f>
        <v>4. SA Mode Test.</v>
      </c>
      <c r="O57" s="154"/>
      <c r="P57" s="154"/>
    </row>
    <row r="58" spans="1:16" ht="21.95" customHeight="1" x14ac:dyDescent="0.3">
      <c r="A58" s="140">
        <f>J7*3</f>
        <v>0</v>
      </c>
      <c r="B58" s="4"/>
      <c r="C58" s="4"/>
      <c r="D58" s="4"/>
      <c r="E58" s="13" t="s">
        <v>1</v>
      </c>
      <c r="F58" s="148">
        <f>$A$21</f>
        <v>0</v>
      </c>
      <c r="G58" s="99" t="str">
        <f>IF(COUNT(B58:D58)=0, "H", IF(COUNT(B59:D59)=0, "V", IF(MAX(B58:D58) &gt;= MAX(B59:D59), "V", "H")))</f>
        <v>H</v>
      </c>
      <c r="H58" s="101">
        <f>MAX(B58:D59)</f>
        <v>0</v>
      </c>
      <c r="I58" s="149">
        <v>-30</v>
      </c>
      <c r="J58" s="143" t="str">
        <f t="shared" ref="J58" si="3">IF(OR(I58-H58&gt;10,I58-H58=-30),"No Peak Found",I58-H58)</f>
        <v>No Peak Found</v>
      </c>
      <c r="K58" s="150" t="s">
        <v>9</v>
      </c>
      <c r="L58" s="216" t="str">
        <f>IF(OR(COUNTIF(B58:D59, "-")+COUNTBLANK(B58:D59)=6), "Pass", IF(H58 &gt; I58, "Fail", IF(J58 &lt; 3, "Margin 부족", "Pass")))</f>
        <v>Pass</v>
      </c>
      <c r="M58" s="214" t="s">
        <v>11</v>
      </c>
    </row>
    <row r="59" spans="1:16" ht="21.95" customHeight="1" x14ac:dyDescent="0.3">
      <c r="A59" s="141"/>
      <c r="B59" s="4"/>
      <c r="C59" s="4"/>
      <c r="D59" s="4"/>
      <c r="E59" s="13" t="s">
        <v>0</v>
      </c>
      <c r="F59" s="148"/>
      <c r="G59" s="99"/>
      <c r="H59" s="101"/>
      <c r="I59" s="149"/>
      <c r="J59" s="143"/>
      <c r="K59" s="150"/>
      <c r="L59" s="217"/>
      <c r="M59" s="218"/>
    </row>
    <row r="60" spans="1:16" ht="21.95" customHeight="1" x14ac:dyDescent="0.3">
      <c r="A60" s="140">
        <f>J7*4</f>
        <v>0</v>
      </c>
      <c r="B60" s="4"/>
      <c r="C60" s="4"/>
      <c r="D60" s="4"/>
      <c r="E60" s="13" t="s">
        <v>1</v>
      </c>
      <c r="F60" s="142">
        <f>$A$23</f>
        <v>0</v>
      </c>
      <c r="G60" s="99" t="str">
        <f>IF(COUNT(B60:D60)=0, "H", IF(COUNT(B61:D61)=0, "V", IF(MAX(B60:D60) &gt;= MAX(B61:D61), "V", "H")))</f>
        <v>H</v>
      </c>
      <c r="H60" s="101">
        <f>MAX(B60:D61)</f>
        <v>0</v>
      </c>
      <c r="I60" s="149">
        <v>-30</v>
      </c>
      <c r="J60" s="143" t="str">
        <f t="shared" ref="J60" si="4">IF(OR(I60-H60&gt;10,I60-H60=-30),"No Peak Found",I60-H60)</f>
        <v>No Peak Found</v>
      </c>
      <c r="K60" s="171" t="s">
        <v>9</v>
      </c>
      <c r="L60" s="216" t="str">
        <f>IF(OR(COUNTIF(B60:D61, "-")+COUNTBLANK(B60:D61)=6), "Pass", IF(H60 &gt; I60, "Fail", IF(J60 &lt; 3, "Margin 부족", "Pass")))</f>
        <v>Pass</v>
      </c>
      <c r="M60" s="214" t="s">
        <v>11</v>
      </c>
    </row>
    <row r="61" spans="1:16" ht="21.95" customHeight="1" x14ac:dyDescent="0.3">
      <c r="A61" s="141"/>
      <c r="B61" s="4"/>
      <c r="C61" s="4"/>
      <c r="D61" s="4"/>
      <c r="E61" s="13" t="s">
        <v>0</v>
      </c>
      <c r="F61" s="142"/>
      <c r="G61" s="99"/>
      <c r="H61" s="101"/>
      <c r="I61" s="149"/>
      <c r="J61" s="143"/>
      <c r="K61" s="171"/>
      <c r="L61" s="217"/>
      <c r="M61" s="218"/>
    </row>
    <row r="62" spans="1:16" ht="21.95" customHeight="1" x14ac:dyDescent="0.3">
      <c r="A62" s="140">
        <f>J7*5</f>
        <v>0</v>
      </c>
      <c r="B62" s="4"/>
      <c r="C62" s="4"/>
      <c r="D62" s="4"/>
      <c r="E62" s="13" t="s">
        <v>1</v>
      </c>
      <c r="F62" s="148">
        <f>$A$25</f>
        <v>0</v>
      </c>
      <c r="G62" s="99" t="str">
        <f>IF(COUNT(B62:D62)=0, "H", IF(COUNT(B63:D63)=0, "V", IF(MAX(B62:D62) &gt;= MAX(B63:D63), "V", "H")))</f>
        <v>H</v>
      </c>
      <c r="H62" s="101">
        <f>MAX(B62:D63)</f>
        <v>0</v>
      </c>
      <c r="I62" s="149">
        <v>-30</v>
      </c>
      <c r="J62" s="143" t="str">
        <f t="shared" ref="J62" si="5">IF(OR(I62-H62&gt;10,I62-H62=-30),"No Peak Found",I62-H62)</f>
        <v>No Peak Found</v>
      </c>
      <c r="K62" s="171" t="s">
        <v>9</v>
      </c>
      <c r="L62" s="216" t="str">
        <f>IF(OR(COUNTIF(B62:D63, "-")+COUNTBLANK(B62:D63)=6), "Pass", IF(H62 &gt; I62, "Fail", IF(J62 &lt; 3, "Margin 부족", "Pass")))</f>
        <v>Pass</v>
      </c>
      <c r="M62" s="214" t="s">
        <v>11</v>
      </c>
    </row>
    <row r="63" spans="1:16" ht="21.95" customHeight="1" thickBot="1" x14ac:dyDescent="0.35">
      <c r="A63" s="165"/>
      <c r="B63" s="9"/>
      <c r="C63" s="9"/>
      <c r="D63" s="9"/>
      <c r="E63" s="14" t="s">
        <v>28</v>
      </c>
      <c r="F63" s="166"/>
      <c r="G63" s="167"/>
      <c r="H63" s="168"/>
      <c r="I63" s="169"/>
      <c r="J63" s="170"/>
      <c r="K63" s="172"/>
      <c r="L63" s="219"/>
      <c r="M63" s="215"/>
    </row>
    <row r="64" spans="1:16" ht="21.95" customHeight="1" x14ac:dyDescent="0.3">
      <c r="A64" s="155" t="s">
        <v>45</v>
      </c>
      <c r="B64" s="156"/>
      <c r="C64" s="156"/>
      <c r="D64" s="156"/>
      <c r="E64" s="157"/>
      <c r="F64" s="159" t="s">
        <v>51</v>
      </c>
      <c r="G64" s="159"/>
      <c r="H64" s="159"/>
      <c r="I64" s="159"/>
      <c r="J64" s="159"/>
      <c r="K64" s="159"/>
      <c r="L64" s="159"/>
      <c r="M64" s="160"/>
    </row>
    <row r="65" spans="1:13" ht="21.95" customHeight="1" x14ac:dyDescent="0.3">
      <c r="A65" s="158"/>
      <c r="B65" s="156"/>
      <c r="C65" s="156"/>
      <c r="D65" s="156"/>
      <c r="E65" s="157"/>
      <c r="F65" s="161"/>
      <c r="G65" s="161"/>
      <c r="H65" s="161"/>
      <c r="I65" s="161"/>
      <c r="J65" s="161"/>
      <c r="K65" s="161"/>
      <c r="L65" s="161"/>
      <c r="M65" s="162"/>
    </row>
    <row r="66" spans="1:13" ht="21.95" customHeight="1" thickBot="1" x14ac:dyDescent="0.35">
      <c r="A66" s="174" t="s">
        <v>6</v>
      </c>
      <c r="B66" s="175"/>
      <c r="C66" s="175"/>
      <c r="D66" s="175"/>
      <c r="E66" s="176"/>
      <c r="F66" s="177" t="s">
        <v>6</v>
      </c>
      <c r="G66" s="177"/>
      <c r="H66" s="177"/>
      <c r="I66" s="177"/>
      <c r="J66" s="177"/>
      <c r="K66" s="177"/>
      <c r="L66" s="177"/>
      <c r="M66" s="177"/>
    </row>
    <row r="67" spans="1:13" ht="21.95" customHeight="1" thickTop="1" x14ac:dyDescent="0.3">
      <c r="A67" s="71" t="s">
        <v>43</v>
      </c>
      <c r="B67" s="73" t="s">
        <v>14</v>
      </c>
      <c r="C67" s="73" t="s">
        <v>15</v>
      </c>
      <c r="D67" s="73" t="s">
        <v>16</v>
      </c>
      <c r="E67" s="75" t="s">
        <v>17</v>
      </c>
      <c r="F67" s="71" t="s">
        <v>43</v>
      </c>
      <c r="G67" s="77" t="s">
        <v>17</v>
      </c>
      <c r="H67" s="77" t="s">
        <v>29</v>
      </c>
      <c r="I67" s="79" t="s">
        <v>41</v>
      </c>
      <c r="J67" s="81" t="s">
        <v>42</v>
      </c>
      <c r="K67" s="187" t="s">
        <v>10</v>
      </c>
      <c r="L67" s="212" t="s">
        <v>18</v>
      </c>
      <c r="M67" s="206" t="s">
        <v>8</v>
      </c>
    </row>
    <row r="68" spans="1:13" ht="21.95" customHeight="1" x14ac:dyDescent="0.3">
      <c r="A68" s="72"/>
      <c r="B68" s="74"/>
      <c r="C68" s="74"/>
      <c r="D68" s="74"/>
      <c r="E68" s="76"/>
      <c r="F68" s="72"/>
      <c r="G68" s="78"/>
      <c r="H68" s="78"/>
      <c r="I68" s="80"/>
      <c r="J68" s="82"/>
      <c r="K68" s="188"/>
      <c r="L68" s="213"/>
      <c r="M68" s="207"/>
    </row>
    <row r="69" spans="1:13" ht="21.95" customHeight="1" x14ac:dyDescent="0.3">
      <c r="A69" s="189" t="s">
        <v>26</v>
      </c>
      <c r="B69" s="10"/>
      <c r="C69" s="1"/>
      <c r="D69" s="1"/>
      <c r="E69" s="11" t="s">
        <v>27</v>
      </c>
      <c r="F69" s="191" t="str">
        <f>A69</f>
        <v>Spurious</v>
      </c>
      <c r="G69" s="193" t="str">
        <f>IF(COUNT(B69:D69)=0, "H", IF(COUNT(B70:D70)=0, "V", IF(MAX(B69:D69) &gt;= MAX(B70:D70), "V", "H")))</f>
        <v>H</v>
      </c>
      <c r="H69" s="195">
        <f>MAX(B69:D70)</f>
        <v>0</v>
      </c>
      <c r="I69" s="197">
        <v>-57</v>
      </c>
      <c r="J69" s="178" t="str">
        <f>IF(OR(I69-H69&gt;10,I69-H69=-57),"No Peak Found",I69-H69)</f>
        <v>No Peak Found</v>
      </c>
      <c r="K69" s="180" t="s">
        <v>9</v>
      </c>
      <c r="L69" s="208" t="str">
        <f>IF(OR(COUNTIF(B69:D70, "-")+COUNTBLANK(B69:D70)=6), "Pass", IF(H69 &gt; I69, "Fail", IF(J69 &lt; 3, "Margin 부족", "Pass")))</f>
        <v>Pass</v>
      </c>
      <c r="M69" s="210" t="s">
        <v>12</v>
      </c>
    </row>
    <row r="70" spans="1:13" ht="21.95" customHeight="1" thickBot="1" x14ac:dyDescent="0.35">
      <c r="A70" s="190"/>
      <c r="B70" s="2"/>
      <c r="C70" s="2"/>
      <c r="D70" s="2"/>
      <c r="E70" s="12" t="s">
        <v>28</v>
      </c>
      <c r="F70" s="192"/>
      <c r="G70" s="194"/>
      <c r="H70" s="196"/>
      <c r="I70" s="198"/>
      <c r="J70" s="179"/>
      <c r="K70" s="181"/>
      <c r="L70" s="209"/>
      <c r="M70" s="211"/>
    </row>
    <row r="71" spans="1:13" ht="21.95" customHeight="1" thickBot="1" x14ac:dyDescent="0.35">
      <c r="A71" s="184" t="s">
        <v>33</v>
      </c>
      <c r="B71" s="185"/>
      <c r="C71" s="185"/>
      <c r="D71" s="185"/>
      <c r="E71" s="186"/>
      <c r="F71" s="70" t="s">
        <v>33</v>
      </c>
      <c r="G71" s="70"/>
      <c r="H71" s="70"/>
      <c r="I71" s="70"/>
      <c r="J71" s="70"/>
      <c r="K71" s="70"/>
      <c r="L71" s="70"/>
      <c r="M71" s="70"/>
    </row>
    <row r="72" spans="1:13" ht="21.95" customHeight="1" thickTop="1" x14ac:dyDescent="0.3">
      <c r="A72" s="71" t="s">
        <v>43</v>
      </c>
      <c r="B72" s="73" t="s">
        <v>14</v>
      </c>
      <c r="C72" s="73" t="s">
        <v>15</v>
      </c>
      <c r="D72" s="73" t="s">
        <v>16</v>
      </c>
      <c r="E72" s="75" t="s">
        <v>17</v>
      </c>
      <c r="F72" s="71" t="s">
        <v>43</v>
      </c>
      <c r="G72" s="77" t="s">
        <v>17</v>
      </c>
      <c r="H72" s="77" t="s">
        <v>29</v>
      </c>
      <c r="I72" s="79" t="s">
        <v>41</v>
      </c>
      <c r="J72" s="81" t="s">
        <v>42</v>
      </c>
      <c r="K72" s="187" t="s">
        <v>10</v>
      </c>
      <c r="L72" s="212" t="s">
        <v>18</v>
      </c>
      <c r="M72" s="206" t="s">
        <v>8</v>
      </c>
    </row>
    <row r="73" spans="1:13" ht="21.95" customHeight="1" x14ac:dyDescent="0.3">
      <c r="A73" s="72"/>
      <c r="B73" s="74"/>
      <c r="C73" s="74"/>
      <c r="D73" s="74"/>
      <c r="E73" s="76"/>
      <c r="F73" s="72"/>
      <c r="G73" s="78"/>
      <c r="H73" s="78"/>
      <c r="I73" s="80"/>
      <c r="J73" s="82"/>
      <c r="K73" s="188"/>
      <c r="L73" s="213"/>
      <c r="M73" s="207"/>
    </row>
    <row r="74" spans="1:13" ht="21.95" customHeight="1" x14ac:dyDescent="0.3">
      <c r="A74" s="189" t="s">
        <v>26</v>
      </c>
      <c r="B74" s="10"/>
      <c r="C74" s="1"/>
      <c r="D74" s="1"/>
      <c r="E74" s="11" t="s">
        <v>27</v>
      </c>
      <c r="F74" s="191" t="str">
        <f>A74</f>
        <v>Spurious</v>
      </c>
      <c r="G74" s="193" t="str">
        <f>IF(COUNT(B74:D74)=0, "H", IF(COUNT(B75:D75)=0, "V", IF(MAX(B74:D74) &gt;= MAX(B75:D75), "V", "H")))</f>
        <v>H</v>
      </c>
      <c r="H74" s="195">
        <f>MAX(B74:D75)</f>
        <v>0</v>
      </c>
      <c r="I74" s="197">
        <v>-47</v>
      </c>
      <c r="J74" s="178" t="str">
        <f>IF(OR(I74-H74&gt;10,I74-H74=-47),"No Peak Found",I74-H74)</f>
        <v>No Peak Found</v>
      </c>
      <c r="K74" s="180" t="s">
        <v>9</v>
      </c>
      <c r="L74" s="208" t="str">
        <f>IF(OR(COUNTIF(B74:D75, "-")+COUNTBLANK(B74:D75)=6), "Pass", IF(H74 &gt; I74, "Fail", IF(J74 &lt; 3, "Margin 부족", "Pass")))</f>
        <v>Pass</v>
      </c>
      <c r="M74" s="210" t="s">
        <v>12</v>
      </c>
    </row>
    <row r="75" spans="1:13" ht="21.95" customHeight="1" thickBot="1" x14ac:dyDescent="0.35">
      <c r="A75" s="190"/>
      <c r="B75" s="2"/>
      <c r="C75" s="2"/>
      <c r="D75" s="2"/>
      <c r="E75" s="12" t="s">
        <v>28</v>
      </c>
      <c r="F75" s="192"/>
      <c r="G75" s="194"/>
      <c r="H75" s="196"/>
      <c r="I75" s="198"/>
      <c r="J75" s="179"/>
      <c r="K75" s="181"/>
      <c r="L75" s="209"/>
      <c r="M75" s="211"/>
    </row>
  </sheetData>
  <mergeCells count="309">
    <mergeCell ref="J74:J75"/>
    <mergeCell ref="K74:K75"/>
    <mergeCell ref="L74:L75"/>
    <mergeCell ref="M74:M75"/>
    <mergeCell ref="I72:I73"/>
    <mergeCell ref="J72:J73"/>
    <mergeCell ref="K72:K73"/>
    <mergeCell ref="L72:L73"/>
    <mergeCell ref="M72:M73"/>
    <mergeCell ref="A74:A75"/>
    <mergeCell ref="F74:F75"/>
    <mergeCell ref="G74:G75"/>
    <mergeCell ref="H74:H75"/>
    <mergeCell ref="I74:I75"/>
    <mergeCell ref="A71:E71"/>
    <mergeCell ref="F71:M71"/>
    <mergeCell ref="A72:A73"/>
    <mergeCell ref="B72:B73"/>
    <mergeCell ref="C72:C73"/>
    <mergeCell ref="D72:D73"/>
    <mergeCell ref="E72:E73"/>
    <mergeCell ref="F72:F73"/>
    <mergeCell ref="G72:G73"/>
    <mergeCell ref="H72:H73"/>
    <mergeCell ref="M67:M68"/>
    <mergeCell ref="A69:A70"/>
    <mergeCell ref="F69:F70"/>
    <mergeCell ref="G69:G70"/>
    <mergeCell ref="H69:H70"/>
    <mergeCell ref="I69:I70"/>
    <mergeCell ref="J69:J70"/>
    <mergeCell ref="K69:K70"/>
    <mergeCell ref="L69:L70"/>
    <mergeCell ref="M69:M70"/>
    <mergeCell ref="G67:G68"/>
    <mergeCell ref="H67:H68"/>
    <mergeCell ref="I67:I68"/>
    <mergeCell ref="J67:J68"/>
    <mergeCell ref="K67:K68"/>
    <mergeCell ref="L67:L68"/>
    <mergeCell ref="A64:E65"/>
    <mergeCell ref="F64:M65"/>
    <mergeCell ref="A66:E66"/>
    <mergeCell ref="F66:M66"/>
    <mergeCell ref="A67:A68"/>
    <mergeCell ref="B67:B68"/>
    <mergeCell ref="C67:C68"/>
    <mergeCell ref="D67:D68"/>
    <mergeCell ref="E67:E68"/>
    <mergeCell ref="F67:F68"/>
    <mergeCell ref="M60:M61"/>
    <mergeCell ref="A62:A63"/>
    <mergeCell ref="F62:F63"/>
    <mergeCell ref="G62:G63"/>
    <mergeCell ref="H62:H63"/>
    <mergeCell ref="I62:I63"/>
    <mergeCell ref="J62:J63"/>
    <mergeCell ref="K62:K63"/>
    <mergeCell ref="L62:L63"/>
    <mergeCell ref="M62:M63"/>
    <mergeCell ref="L58:L59"/>
    <mergeCell ref="M58:M59"/>
    <mergeCell ref="A60:A61"/>
    <mergeCell ref="F60:F61"/>
    <mergeCell ref="G60:G61"/>
    <mergeCell ref="H60:H61"/>
    <mergeCell ref="I60:I61"/>
    <mergeCell ref="J60:J61"/>
    <mergeCell ref="K60:K61"/>
    <mergeCell ref="L60:L61"/>
    <mergeCell ref="M56:M57"/>
    <mergeCell ref="N56:P56"/>
    <mergeCell ref="N57:P57"/>
    <mergeCell ref="A58:A59"/>
    <mergeCell ref="F58:F59"/>
    <mergeCell ref="G58:G59"/>
    <mergeCell ref="H58:H59"/>
    <mergeCell ref="I58:I59"/>
    <mergeCell ref="J58:J59"/>
    <mergeCell ref="K58:K59"/>
    <mergeCell ref="N54:P54"/>
    <mergeCell ref="N55:P55"/>
    <mergeCell ref="A56:A57"/>
    <mergeCell ref="F56:F57"/>
    <mergeCell ref="G56:G57"/>
    <mergeCell ref="H56:H57"/>
    <mergeCell ref="I56:I57"/>
    <mergeCell ref="J56:J57"/>
    <mergeCell ref="K56:K57"/>
    <mergeCell ref="L56:L57"/>
    <mergeCell ref="H54:H55"/>
    <mergeCell ref="I54:I55"/>
    <mergeCell ref="J54:J55"/>
    <mergeCell ref="K54:K55"/>
    <mergeCell ref="L54:L55"/>
    <mergeCell ref="M54:M55"/>
    <mergeCell ref="M51:M52"/>
    <mergeCell ref="A53:E53"/>
    <mergeCell ref="F53:M53"/>
    <mergeCell ref="A54:A55"/>
    <mergeCell ref="B54:B55"/>
    <mergeCell ref="C54:C55"/>
    <mergeCell ref="D54:D55"/>
    <mergeCell ref="E54:E55"/>
    <mergeCell ref="F54:F55"/>
    <mergeCell ref="G54:G55"/>
    <mergeCell ref="L49:L50"/>
    <mergeCell ref="M49:M50"/>
    <mergeCell ref="A51:A52"/>
    <mergeCell ref="F51:F52"/>
    <mergeCell ref="G51:G52"/>
    <mergeCell ref="H51:H52"/>
    <mergeCell ref="I51:I52"/>
    <mergeCell ref="J51:J52"/>
    <mergeCell ref="K51:K52"/>
    <mergeCell ref="L51:L52"/>
    <mergeCell ref="F49:F50"/>
    <mergeCell ref="G49:G50"/>
    <mergeCell ref="H49:H50"/>
    <mergeCell ref="I49:I50"/>
    <mergeCell ref="J49:J50"/>
    <mergeCell ref="K49:K50"/>
    <mergeCell ref="J44:M45"/>
    <mergeCell ref="A46:E47"/>
    <mergeCell ref="F46:M47"/>
    <mergeCell ref="A48:E48"/>
    <mergeCell ref="F48:M48"/>
    <mergeCell ref="A49:A50"/>
    <mergeCell ref="B49:B50"/>
    <mergeCell ref="C49:C50"/>
    <mergeCell ref="D49:D50"/>
    <mergeCell ref="E49:E50"/>
    <mergeCell ref="J42:M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A40:M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J32:J33"/>
    <mergeCell ref="K32:K33"/>
    <mergeCell ref="L32:L33"/>
    <mergeCell ref="M32:M33"/>
    <mergeCell ref="A34:E34"/>
    <mergeCell ref="F34:M34"/>
    <mergeCell ref="I30:I31"/>
    <mergeCell ref="J30:J31"/>
    <mergeCell ref="K30:K31"/>
    <mergeCell ref="L30:L31"/>
    <mergeCell ref="M30:M31"/>
    <mergeCell ref="A32:A33"/>
    <mergeCell ref="F32:F33"/>
    <mergeCell ref="G32:G33"/>
    <mergeCell ref="H32:H33"/>
    <mergeCell ref="I32:I33"/>
    <mergeCell ref="A29:E29"/>
    <mergeCell ref="F29:M29"/>
    <mergeCell ref="A30:A31"/>
    <mergeCell ref="B30:B31"/>
    <mergeCell ref="C30:C31"/>
    <mergeCell ref="D30:D31"/>
    <mergeCell ref="E30:E31"/>
    <mergeCell ref="F30:F31"/>
    <mergeCell ref="G30:G31"/>
    <mergeCell ref="H30:H31"/>
    <mergeCell ref="K25:K26"/>
    <mergeCell ref="L25:L26"/>
    <mergeCell ref="M25:M26"/>
    <mergeCell ref="N25:P25"/>
    <mergeCell ref="N26:P26"/>
    <mergeCell ref="A27:E28"/>
    <mergeCell ref="F27:M28"/>
    <mergeCell ref="L23:L24"/>
    <mergeCell ref="M23:M24"/>
    <mergeCell ref="N23:P23"/>
    <mergeCell ref="N24:P24"/>
    <mergeCell ref="A25:A26"/>
    <mergeCell ref="F25:F26"/>
    <mergeCell ref="G25:G26"/>
    <mergeCell ref="H25:H26"/>
    <mergeCell ref="I25:I26"/>
    <mergeCell ref="J25:J26"/>
    <mergeCell ref="K21:K22"/>
    <mergeCell ref="L21:L22"/>
    <mergeCell ref="M21:M22"/>
    <mergeCell ref="A23:A24"/>
    <mergeCell ref="F23:F24"/>
    <mergeCell ref="G23:G24"/>
    <mergeCell ref="H23:H24"/>
    <mergeCell ref="I23:I24"/>
    <mergeCell ref="J23:J24"/>
    <mergeCell ref="K23:K24"/>
    <mergeCell ref="A21:A22"/>
    <mergeCell ref="F21:F22"/>
    <mergeCell ref="G21:G22"/>
    <mergeCell ref="H21:H22"/>
    <mergeCell ref="I21:I22"/>
    <mergeCell ref="J21:J22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</mergeCells>
  <phoneticPr fontId="1" type="noConversion"/>
  <conditionalFormatting sqref="J14">
    <cfRule type="cellIs" dxfId="452" priority="44" operator="lessThan">
      <formula>10</formula>
    </cfRule>
  </conditionalFormatting>
  <conditionalFormatting sqref="J14">
    <cfRule type="cellIs" dxfId="451" priority="43" operator="equal">
      <formula>-36</formula>
    </cfRule>
  </conditionalFormatting>
  <conditionalFormatting sqref="L14">
    <cfRule type="cellIs" dxfId="450" priority="42" operator="equal">
      <formula>"Fail"</formula>
    </cfRule>
  </conditionalFormatting>
  <conditionalFormatting sqref="J19">
    <cfRule type="cellIs" dxfId="449" priority="40" operator="equal">
      <formula>-30</formula>
    </cfRule>
    <cfRule type="cellIs" dxfId="448" priority="41" operator="lessThan">
      <formula>10</formula>
    </cfRule>
  </conditionalFormatting>
  <conditionalFormatting sqref="L19">
    <cfRule type="cellIs" dxfId="447" priority="39" operator="equal">
      <formula>"Fail"</formula>
    </cfRule>
  </conditionalFormatting>
  <conditionalFormatting sqref="L21">
    <cfRule type="cellIs" dxfId="446" priority="38" operator="equal">
      <formula>"Fail"</formula>
    </cfRule>
  </conditionalFormatting>
  <conditionalFormatting sqref="L23">
    <cfRule type="cellIs" dxfId="445" priority="37" operator="equal">
      <formula>"Fail"</formula>
    </cfRule>
  </conditionalFormatting>
  <conditionalFormatting sqref="L25">
    <cfRule type="cellIs" dxfId="444" priority="36" operator="equal">
      <formula>"Fail"</formula>
    </cfRule>
  </conditionalFormatting>
  <conditionalFormatting sqref="V28">
    <cfRule type="cellIs" dxfId="443" priority="35" operator="equal">
      <formula>"Fail"</formula>
    </cfRule>
  </conditionalFormatting>
  <conditionalFormatting sqref="L14:L15 L19:L26">
    <cfRule type="cellIs" dxfId="442" priority="34" operator="equal">
      <formula>"Pass"</formula>
    </cfRule>
  </conditionalFormatting>
  <conditionalFormatting sqref="L32">
    <cfRule type="cellIs" dxfId="441" priority="33" operator="equal">
      <formula>"Fail"</formula>
    </cfRule>
  </conditionalFormatting>
  <conditionalFormatting sqref="L32:L33">
    <cfRule type="cellIs" dxfId="440" priority="32" operator="equal">
      <formula>"Pass"</formula>
    </cfRule>
  </conditionalFormatting>
  <conditionalFormatting sqref="L37">
    <cfRule type="cellIs" dxfId="439" priority="31" operator="equal">
      <formula>"Fail"</formula>
    </cfRule>
  </conditionalFormatting>
  <conditionalFormatting sqref="L37:L38">
    <cfRule type="cellIs" dxfId="438" priority="30" operator="equal">
      <formula>"Pass"</formula>
    </cfRule>
  </conditionalFormatting>
  <conditionalFormatting sqref="B14:D15">
    <cfRule type="top10" dxfId="437" priority="29" rank="1"/>
  </conditionalFormatting>
  <conditionalFormatting sqref="B19:D20">
    <cfRule type="top10" dxfId="436" priority="28" rank="1"/>
  </conditionalFormatting>
  <conditionalFormatting sqref="B21:D22">
    <cfRule type="top10" dxfId="435" priority="27" rank="1"/>
  </conditionalFormatting>
  <conditionalFormatting sqref="B23:D24">
    <cfRule type="top10" dxfId="434" priority="26" rank="1"/>
  </conditionalFormatting>
  <conditionalFormatting sqref="B25:D26">
    <cfRule type="top10" dxfId="433" priority="25" rank="1"/>
  </conditionalFormatting>
  <conditionalFormatting sqref="J21 J23 J25">
    <cfRule type="cellIs" dxfId="432" priority="23" operator="equal">
      <formula>-30</formula>
    </cfRule>
    <cfRule type="cellIs" dxfId="431" priority="24" operator="lessThan">
      <formula>10</formula>
    </cfRule>
  </conditionalFormatting>
  <conditionalFormatting sqref="J51">
    <cfRule type="cellIs" dxfId="430" priority="22" operator="lessThan">
      <formula>10</formula>
    </cfRule>
  </conditionalFormatting>
  <conditionalFormatting sqref="J51">
    <cfRule type="cellIs" dxfId="429" priority="21" operator="equal">
      <formula>-36</formula>
    </cfRule>
  </conditionalFormatting>
  <conditionalFormatting sqref="L51">
    <cfRule type="cellIs" dxfId="428" priority="20" operator="equal">
      <formula>"Fail"</formula>
    </cfRule>
  </conditionalFormatting>
  <conditionalFormatting sqref="J56">
    <cfRule type="cellIs" dxfId="427" priority="18" operator="equal">
      <formula>-30</formula>
    </cfRule>
    <cfRule type="cellIs" dxfId="426" priority="19" operator="lessThan">
      <formula>10</formula>
    </cfRule>
  </conditionalFormatting>
  <conditionalFormatting sqref="L56">
    <cfRule type="cellIs" dxfId="425" priority="17" operator="equal">
      <formula>"Fail"</formula>
    </cfRule>
  </conditionalFormatting>
  <conditionalFormatting sqref="L58">
    <cfRule type="cellIs" dxfId="424" priority="16" operator="equal">
      <formula>"Fail"</formula>
    </cfRule>
  </conditionalFormatting>
  <conditionalFormatting sqref="L60">
    <cfRule type="cellIs" dxfId="423" priority="15" operator="equal">
      <formula>"Fail"</formula>
    </cfRule>
  </conditionalFormatting>
  <conditionalFormatting sqref="L62">
    <cfRule type="cellIs" dxfId="422" priority="14" operator="equal">
      <formula>"Fail"</formula>
    </cfRule>
  </conditionalFormatting>
  <conditionalFormatting sqref="L51:L52 L56:L63">
    <cfRule type="cellIs" dxfId="421" priority="13" operator="equal">
      <formula>"Pass"</formula>
    </cfRule>
  </conditionalFormatting>
  <conditionalFormatting sqref="L69">
    <cfRule type="cellIs" dxfId="420" priority="12" operator="equal">
      <formula>"Fail"</formula>
    </cfRule>
  </conditionalFormatting>
  <conditionalFormatting sqref="L69:L70">
    <cfRule type="cellIs" dxfId="419" priority="11" operator="equal">
      <formula>"Pass"</formula>
    </cfRule>
  </conditionalFormatting>
  <conditionalFormatting sqref="L74">
    <cfRule type="cellIs" dxfId="418" priority="10" operator="equal">
      <formula>"Fail"</formula>
    </cfRule>
  </conditionalFormatting>
  <conditionalFormatting sqref="L74:L75">
    <cfRule type="cellIs" dxfId="417" priority="9" operator="equal">
      <formula>"Pass"</formula>
    </cfRule>
  </conditionalFormatting>
  <conditionalFormatting sqref="B51:D52">
    <cfRule type="top10" dxfId="416" priority="8" rank="1"/>
  </conditionalFormatting>
  <conditionalFormatting sqref="B56:D57">
    <cfRule type="top10" dxfId="415" priority="7" rank="1"/>
  </conditionalFormatting>
  <conditionalFormatting sqref="B58:D59">
    <cfRule type="top10" dxfId="414" priority="6" rank="1"/>
  </conditionalFormatting>
  <conditionalFormatting sqref="B60:D61">
    <cfRule type="top10" dxfId="413" priority="5" rank="1"/>
  </conditionalFormatting>
  <conditionalFormatting sqref="B62:D63">
    <cfRule type="top10" dxfId="412" priority="4" rank="1"/>
  </conditionalFormatting>
  <conditionalFormatting sqref="J58 J60 J62">
    <cfRule type="cellIs" dxfId="411" priority="2" operator="equal">
      <formula>-30</formula>
    </cfRule>
    <cfRule type="cellIs" dxfId="410" priority="3" operator="lessThan">
      <formula>10</formula>
    </cfRule>
  </conditionalFormatting>
  <conditionalFormatting sqref="B37:D38">
    <cfRule type="top10" dxfId="409" priority="1" rank="1"/>
  </conditionalFormatting>
  <dataValidations count="1">
    <dataValidation type="list" allowBlank="1" showInputMessage="1" showErrorMessage="1" sqref="M14 M25 M19 M21 M23 M32:M33 M51 M62 M56 M58 M60 M74:M75 M69:M70 M37:M38" xr:uid="{A35A683B-C707-4A54-ADAB-95D98D456267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74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72EA-20F2-4C76-91C9-0019103B2FB2}">
  <dimension ref="A1:P75"/>
  <sheetViews>
    <sheetView view="pageBreakPreview" zoomScale="85" zoomScaleNormal="100" zoomScaleSheetLayoutView="85" workbookViewId="0">
      <selection activeCell="F46" sqref="F46:M47"/>
    </sheetView>
  </sheetViews>
  <sheetFormatPr defaultRowHeight="16.5" outlineLevelCol="1" x14ac:dyDescent="0.3"/>
  <cols>
    <col min="1" max="11" width="12.625" style="6" customWidth="1"/>
    <col min="12" max="13" width="12.625" hidden="1" customWidth="1" outlineLevel="1"/>
    <col min="14" max="14" width="12.625" customWidth="1" collapsed="1"/>
    <col min="15" max="22" width="12.625" customWidth="1"/>
  </cols>
  <sheetData>
    <row r="1" spans="1:13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3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46</v>
      </c>
      <c r="H2" s="28"/>
      <c r="I2" s="28"/>
      <c r="J2" s="28"/>
      <c r="K2" s="28"/>
      <c r="L2" s="28"/>
      <c r="M2" s="29"/>
    </row>
    <row r="3" spans="1:13" ht="24.95" customHeight="1" x14ac:dyDescent="0.3">
      <c r="A3" s="30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3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3" ht="20.100000000000001" customHeight="1" x14ac:dyDescent="0.3">
      <c r="A7" s="62" t="s">
        <v>60</v>
      </c>
      <c r="B7" s="36"/>
      <c r="C7" s="36"/>
      <c r="D7" s="36"/>
      <c r="E7" s="36"/>
      <c r="F7" s="36"/>
      <c r="G7" s="36"/>
      <c r="H7" s="37">
        <v>15</v>
      </c>
      <c r="I7" s="37"/>
      <c r="J7" s="39"/>
      <c r="K7" s="40"/>
      <c r="L7" s="40"/>
      <c r="M7" s="41"/>
    </row>
    <row r="8" spans="1:13" ht="20.100000000000001" customHeight="1" thickBot="1" x14ac:dyDescent="0.35">
      <c r="A8" s="63"/>
      <c r="B8" s="37"/>
      <c r="C8" s="37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3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3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</row>
    <row r="11" spans="1:13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3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212" t="s">
        <v>18</v>
      </c>
      <c r="M12" s="206" t="s">
        <v>8</v>
      </c>
    </row>
    <row r="13" spans="1:13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213"/>
      <c r="M13" s="207"/>
    </row>
    <row r="14" spans="1:13" ht="21.95" customHeight="1" x14ac:dyDescent="0.3">
      <c r="A14" s="95" t="s">
        <v>26</v>
      </c>
      <c r="B14" s="3"/>
      <c r="C14" s="3"/>
      <c r="D14" s="3"/>
      <c r="E14" s="11" t="s">
        <v>27</v>
      </c>
      <c r="F14" s="226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208" t="str">
        <f>IF(OR(COUNTIF(B14:D15, "-")+COUNTBLANK(B14:D15)=6), "Pass", IF(H14 &gt; I14, "Fail", IF(J14 &lt; 3, "Margin 부족", "Pass")))</f>
        <v>Pass</v>
      </c>
      <c r="M14" s="224" t="s">
        <v>12</v>
      </c>
    </row>
    <row r="15" spans="1:13" ht="21.95" customHeight="1" thickBot="1" x14ac:dyDescent="0.35">
      <c r="A15" s="96"/>
      <c r="B15" s="7"/>
      <c r="C15" s="7"/>
      <c r="D15" s="7"/>
      <c r="E15" s="12" t="s">
        <v>28</v>
      </c>
      <c r="F15" s="227"/>
      <c r="G15" s="100"/>
      <c r="H15" s="102"/>
      <c r="I15" s="104"/>
      <c r="J15" s="106"/>
      <c r="K15" s="90"/>
      <c r="L15" s="209"/>
      <c r="M15" s="225"/>
    </row>
    <row r="16" spans="1:13" ht="21.95" customHeight="1" thickBot="1" x14ac:dyDescent="0.35">
      <c r="A16" s="120" t="s">
        <v>53</v>
      </c>
      <c r="B16" s="121"/>
      <c r="C16" s="121"/>
      <c r="D16" s="121"/>
      <c r="E16" s="121"/>
      <c r="F16" s="122" t="s">
        <v>53</v>
      </c>
      <c r="G16" s="123"/>
      <c r="H16" s="123"/>
      <c r="I16" s="123"/>
      <c r="J16" s="70"/>
      <c r="K16" s="123"/>
      <c r="L16" s="124"/>
      <c r="M16" s="125"/>
    </row>
    <row r="17" spans="1:16" ht="21.95" customHeight="1" thickTop="1" x14ac:dyDescent="0.3">
      <c r="A17" s="126" t="s">
        <v>43</v>
      </c>
      <c r="B17" s="128" t="s">
        <v>14</v>
      </c>
      <c r="C17" s="128" t="s">
        <v>15</v>
      </c>
      <c r="D17" s="128" t="s">
        <v>16</v>
      </c>
      <c r="E17" s="130" t="s">
        <v>17</v>
      </c>
      <c r="F17" s="126" t="s">
        <v>43</v>
      </c>
      <c r="G17" s="132" t="s">
        <v>17</v>
      </c>
      <c r="H17" s="132" t="s">
        <v>29</v>
      </c>
      <c r="I17" s="133" t="s">
        <v>41</v>
      </c>
      <c r="J17" s="81" t="s">
        <v>42</v>
      </c>
      <c r="K17" s="134" t="s">
        <v>10</v>
      </c>
      <c r="L17" s="220" t="s">
        <v>18</v>
      </c>
      <c r="M17" s="222" t="s">
        <v>8</v>
      </c>
    </row>
    <row r="18" spans="1:16" ht="21.75" customHeight="1" x14ac:dyDescent="0.3">
      <c r="A18" s="127"/>
      <c r="B18" s="129"/>
      <c r="C18" s="129"/>
      <c r="D18" s="129"/>
      <c r="E18" s="131"/>
      <c r="F18" s="127"/>
      <c r="G18" s="78"/>
      <c r="H18" s="78"/>
      <c r="I18" s="80"/>
      <c r="J18" s="82"/>
      <c r="K18" s="135"/>
      <c r="L18" s="221"/>
      <c r="M18" s="223"/>
    </row>
    <row r="19" spans="1:16" ht="21.95" customHeight="1" x14ac:dyDescent="0.3">
      <c r="A19" s="140">
        <f>J7*2</f>
        <v>0</v>
      </c>
      <c r="B19" s="4"/>
      <c r="C19" s="4"/>
      <c r="D19" s="4"/>
      <c r="E19" s="13" t="s">
        <v>1</v>
      </c>
      <c r="F19" s="142">
        <f>$A$19</f>
        <v>0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43" t="str">
        <f>IF(OR(I19-H19&gt;10,I19-H19=-30),"No Peak Found",I19-H19)</f>
        <v>No Peak Found</v>
      </c>
      <c r="K19" s="144" t="s">
        <v>9</v>
      </c>
      <c r="L19" s="216" t="str">
        <f>IF(OR(COUNTIF(B19:D20, "-")+COUNTBLANK(B19:D20)=6), "Pass", IF(H19 &gt; I19, "Fail", IF(J19 &lt; 3, "Margin 부족", "Pass")))</f>
        <v>Pass</v>
      </c>
      <c r="M19" s="214" t="s">
        <v>11</v>
      </c>
    </row>
    <row r="20" spans="1:16" ht="21.95" customHeight="1" x14ac:dyDescent="0.3">
      <c r="A20" s="141"/>
      <c r="B20" s="4"/>
      <c r="C20" s="4"/>
      <c r="D20" s="4"/>
      <c r="E20" s="13" t="s">
        <v>0</v>
      </c>
      <c r="F20" s="142"/>
      <c r="G20" s="99"/>
      <c r="H20" s="101"/>
      <c r="I20" s="103"/>
      <c r="J20" s="143"/>
      <c r="K20" s="144"/>
      <c r="L20" s="217"/>
      <c r="M20" s="218"/>
    </row>
    <row r="21" spans="1:16" ht="21.95" customHeight="1" x14ac:dyDescent="0.3">
      <c r="A21" s="140">
        <f>J7*3</f>
        <v>0</v>
      </c>
      <c r="B21" s="4"/>
      <c r="C21" s="4"/>
      <c r="D21" s="4"/>
      <c r="E21" s="13" t="s">
        <v>1</v>
      </c>
      <c r="F21" s="148">
        <f>$A$21</f>
        <v>0</v>
      </c>
      <c r="G21" s="99" t="str">
        <f>IF(COUNT(B21:D21)=0, "H", IF(COUNT(B22:D22)=0, "V", IF(MAX(B21:D21) &gt;= MAX(B22:D22), "V", "H")))</f>
        <v>H</v>
      </c>
      <c r="H21" s="101">
        <f>MAX(B21:D22)</f>
        <v>0</v>
      </c>
      <c r="I21" s="149">
        <v>-30</v>
      </c>
      <c r="J21" s="143" t="str">
        <f t="shared" ref="J21" si="0">IF(OR(I21-H21&gt;10,I21-H21=-30),"No Peak Found",I21-H21)</f>
        <v>No Peak Found</v>
      </c>
      <c r="K21" s="150" t="s">
        <v>9</v>
      </c>
      <c r="L21" s="216" t="str">
        <f>IF(OR(COUNTIF(B21:D22, "-")+COUNTBLANK(B21:D22)=6), "Pass", IF(H21 &gt; I21, "Fail", IF(J21 &lt; 3, "Margin 부족", "Pass")))</f>
        <v>Pass</v>
      </c>
      <c r="M21" s="214" t="s">
        <v>11</v>
      </c>
    </row>
    <row r="22" spans="1:16" ht="21.95" customHeight="1" x14ac:dyDescent="0.3">
      <c r="A22" s="141"/>
      <c r="B22" s="4"/>
      <c r="C22" s="4"/>
      <c r="D22" s="4"/>
      <c r="E22" s="13" t="s">
        <v>0</v>
      </c>
      <c r="F22" s="148"/>
      <c r="G22" s="99"/>
      <c r="H22" s="101"/>
      <c r="I22" s="149"/>
      <c r="J22" s="143"/>
      <c r="K22" s="150"/>
      <c r="L22" s="217"/>
      <c r="M22" s="218"/>
      <c r="N22" s="8" t="s">
        <v>8</v>
      </c>
      <c r="O22" s="6"/>
      <c r="P22" s="6"/>
    </row>
    <row r="23" spans="1:16" ht="21.95" customHeight="1" x14ac:dyDescent="0.3">
      <c r="A23" s="140">
        <f>J7*4</f>
        <v>0</v>
      </c>
      <c r="B23" s="4"/>
      <c r="C23" s="4"/>
      <c r="D23" s="4"/>
      <c r="E23" s="13" t="s">
        <v>1</v>
      </c>
      <c r="F23" s="142">
        <f>$A$23</f>
        <v>0</v>
      </c>
      <c r="G23" s="99" t="str">
        <f>IF(COUNT(B23:D23)=0, "H", IF(COUNT(B24:D24)=0, "V", IF(MAX(B23:D23) &gt;= MAX(B24:D24), "V", "H")))</f>
        <v>H</v>
      </c>
      <c r="H23" s="101">
        <f>MAX(B23:D24)</f>
        <v>0</v>
      </c>
      <c r="I23" s="149">
        <v>-30</v>
      </c>
      <c r="J23" s="143" t="str">
        <f t="shared" ref="J23" si="1">IF(OR(I23-H23&gt;10,I23-H23=-30),"No Peak Found",I23-H23)</f>
        <v>No Peak Found</v>
      </c>
      <c r="K23" s="171" t="s">
        <v>9</v>
      </c>
      <c r="L23" s="216" t="str">
        <f>IF(OR(COUNTIF(B23:D24, "-")+COUNTBLANK(B23:D24)=6), "Pass", IF(H23 &gt; I23, "Fail", IF(J23 &lt; 3, "Margin 부족", "Pass")))</f>
        <v>Pass</v>
      </c>
      <c r="M23" s="214" t="s">
        <v>11</v>
      </c>
      <c r="N23" s="163" t="str">
        <f>"1. Sub6 NR Band : " &amp; VALUE(RIGHT(A7, LEN(A7)-1))</f>
        <v>1. Sub6 NR Band : 20</v>
      </c>
      <c r="O23" s="164"/>
      <c r="P23" s="164"/>
    </row>
    <row r="24" spans="1:16" ht="21.95" customHeight="1" x14ac:dyDescent="0.3">
      <c r="A24" s="141"/>
      <c r="B24" s="4"/>
      <c r="C24" s="4"/>
      <c r="D24" s="4"/>
      <c r="E24" s="13" t="s">
        <v>0</v>
      </c>
      <c r="F24" s="142"/>
      <c r="G24" s="99"/>
      <c r="H24" s="101"/>
      <c r="I24" s="149"/>
      <c r="J24" s="143"/>
      <c r="K24" s="171"/>
      <c r="L24" s="217"/>
      <c r="M24" s="218"/>
      <c r="N24" s="152" t="str">
        <f>"2. SCS : " &amp; H7 &amp; " kHz"</f>
        <v>2. SCS : 15 kHz</v>
      </c>
      <c r="O24" s="153"/>
      <c r="P24" s="153"/>
    </row>
    <row r="25" spans="1:16" ht="21.95" customHeight="1" x14ac:dyDescent="0.3">
      <c r="A25" s="140">
        <f>J7*5</f>
        <v>0</v>
      </c>
      <c r="B25" s="4"/>
      <c r="C25" s="4"/>
      <c r="D25" s="4"/>
      <c r="E25" s="13" t="s">
        <v>1</v>
      </c>
      <c r="F25" s="148">
        <f>$A$25</f>
        <v>0</v>
      </c>
      <c r="G25" s="99" t="str">
        <f>IF(COUNT(B25:D25)=0, "H", IF(COUNT(B26:D26)=0, "V", IF(MAX(B25:D25) &gt;= MAX(B26:D26), "V", "H")))</f>
        <v>H</v>
      </c>
      <c r="H25" s="101">
        <f>MAX(B25:D26)</f>
        <v>0</v>
      </c>
      <c r="I25" s="149">
        <v>-30</v>
      </c>
      <c r="J25" s="143" t="str">
        <f t="shared" ref="J25" si="2">IF(OR(I25-H25&gt;10,I25-H25=-30),"No Peak Found",I25-H25)</f>
        <v>No Peak Found</v>
      </c>
      <c r="K25" s="171" t="s">
        <v>9</v>
      </c>
      <c r="L25" s="216" t="str">
        <f>IF(OR(COUNTIF(B25:D26, "-")+COUNTBLANK(B25:D26)=6), "Pass", IF(H25 &gt; I25, "Fail", IF(J25 &lt; 3, "Margin 부족", "Pass")))</f>
        <v>Pass</v>
      </c>
      <c r="M25" s="214" t="s">
        <v>11</v>
      </c>
      <c r="N25" s="152" t="str">
        <f>"3. The test was performed the " &amp; I7 &amp; " antenna."</f>
        <v>3. The test was performed the  antenna.</v>
      </c>
      <c r="O25" s="153"/>
      <c r="P25" s="153"/>
    </row>
    <row r="26" spans="1:16" ht="21.95" customHeight="1" thickBot="1" x14ac:dyDescent="0.35">
      <c r="A26" s="165"/>
      <c r="B26" s="9"/>
      <c r="C26" s="9"/>
      <c r="D26" s="9"/>
      <c r="E26" s="14" t="s">
        <v>28</v>
      </c>
      <c r="F26" s="166"/>
      <c r="G26" s="167"/>
      <c r="H26" s="168"/>
      <c r="I26" s="169"/>
      <c r="J26" s="170"/>
      <c r="K26" s="172"/>
      <c r="L26" s="219"/>
      <c r="M26" s="215"/>
      <c r="N26" s="152" t="str">
        <f>"4. " &amp; LEFT(A9, FIND(" ", A9 &amp; " ") - 1) &amp; " Mode Test."</f>
        <v>4. NSA Mode Test.</v>
      </c>
      <c r="O26" s="154"/>
      <c r="P26" s="154"/>
    </row>
    <row r="27" spans="1:16" ht="24.95" customHeight="1" x14ac:dyDescent="0.3">
      <c r="A27" s="155" t="s">
        <v>32</v>
      </c>
      <c r="B27" s="156"/>
      <c r="C27" s="156"/>
      <c r="D27" s="156"/>
      <c r="E27" s="157"/>
      <c r="F27" s="159" t="s">
        <v>49</v>
      </c>
      <c r="G27" s="159"/>
      <c r="H27" s="159"/>
      <c r="I27" s="159"/>
      <c r="J27" s="159"/>
      <c r="K27" s="159"/>
      <c r="L27" s="159"/>
      <c r="M27" s="160"/>
    </row>
    <row r="28" spans="1:16" ht="24.95" customHeight="1" x14ac:dyDescent="0.3">
      <c r="A28" s="158"/>
      <c r="B28" s="156"/>
      <c r="C28" s="156"/>
      <c r="D28" s="156"/>
      <c r="E28" s="157"/>
      <c r="F28" s="161"/>
      <c r="G28" s="161"/>
      <c r="H28" s="161"/>
      <c r="I28" s="161"/>
      <c r="J28" s="161"/>
      <c r="K28" s="161"/>
      <c r="L28" s="161"/>
      <c r="M28" s="162"/>
    </row>
    <row r="29" spans="1:16" ht="21.95" customHeight="1" thickBot="1" x14ac:dyDescent="0.35">
      <c r="A29" s="174" t="s">
        <v>6</v>
      </c>
      <c r="B29" s="175"/>
      <c r="C29" s="175"/>
      <c r="D29" s="175"/>
      <c r="E29" s="176"/>
      <c r="F29" s="177" t="s">
        <v>6</v>
      </c>
      <c r="G29" s="177"/>
      <c r="H29" s="177"/>
      <c r="I29" s="177"/>
      <c r="J29" s="177"/>
      <c r="K29" s="177"/>
      <c r="L29" s="177"/>
      <c r="M29" s="177"/>
    </row>
    <row r="30" spans="1:16" ht="21.95" customHeight="1" thickTop="1" x14ac:dyDescent="0.3">
      <c r="A30" s="71" t="s">
        <v>43</v>
      </c>
      <c r="B30" s="73" t="s">
        <v>14</v>
      </c>
      <c r="C30" s="73" t="s">
        <v>15</v>
      </c>
      <c r="D30" s="73" t="s">
        <v>16</v>
      </c>
      <c r="E30" s="75" t="s">
        <v>17</v>
      </c>
      <c r="F30" s="71" t="s">
        <v>43</v>
      </c>
      <c r="G30" s="77" t="s">
        <v>17</v>
      </c>
      <c r="H30" s="77" t="s">
        <v>29</v>
      </c>
      <c r="I30" s="79" t="s">
        <v>41</v>
      </c>
      <c r="J30" s="81" t="s">
        <v>42</v>
      </c>
      <c r="K30" s="187" t="s">
        <v>10</v>
      </c>
      <c r="L30" s="212" t="s">
        <v>18</v>
      </c>
      <c r="M30" s="206" t="s">
        <v>8</v>
      </c>
    </row>
    <row r="31" spans="1:16" ht="21.95" customHeight="1" x14ac:dyDescent="0.3">
      <c r="A31" s="72"/>
      <c r="B31" s="74"/>
      <c r="C31" s="74"/>
      <c r="D31" s="74"/>
      <c r="E31" s="76"/>
      <c r="F31" s="72"/>
      <c r="G31" s="78"/>
      <c r="H31" s="78"/>
      <c r="I31" s="80"/>
      <c r="J31" s="82"/>
      <c r="K31" s="188"/>
      <c r="L31" s="213"/>
      <c r="M31" s="207"/>
    </row>
    <row r="32" spans="1:16" ht="21.95" customHeight="1" x14ac:dyDescent="0.3">
      <c r="A32" s="189" t="s">
        <v>26</v>
      </c>
      <c r="B32" s="10"/>
      <c r="C32" s="1"/>
      <c r="D32" s="1"/>
      <c r="E32" s="11" t="s">
        <v>27</v>
      </c>
      <c r="F32" s="191" t="str">
        <f>A32</f>
        <v>Spurious</v>
      </c>
      <c r="G32" s="193" t="str">
        <f>IF(COUNT(B32:D32)=0, "H", IF(COUNT(B33:D33)=0, "V", IF(MAX(B32:D32) &gt;= MAX(B33:D33), "V", "H")))</f>
        <v>H</v>
      </c>
      <c r="H32" s="195">
        <f>MAX(B32:D33)</f>
        <v>0</v>
      </c>
      <c r="I32" s="197">
        <v>-57</v>
      </c>
      <c r="J32" s="178" t="str">
        <f>IF(OR(I32-H32&gt;10,I32-H32=-57),"No Peak Found",I32-H32)</f>
        <v>No Peak Found</v>
      </c>
      <c r="K32" s="180" t="s">
        <v>9</v>
      </c>
      <c r="L32" s="208" t="str">
        <f>IF(OR(COUNTIF(B32:D33, "-")+COUNTBLANK(B32:D33)=6), "Pass", IF(H32 &gt; I32, "Fail", IF(J32 &lt; 3, "Margin 부족", "Pass")))</f>
        <v>Pass</v>
      </c>
      <c r="M32" s="210" t="s">
        <v>12</v>
      </c>
    </row>
    <row r="33" spans="1:13" ht="21.95" customHeight="1" thickBot="1" x14ac:dyDescent="0.35">
      <c r="A33" s="190"/>
      <c r="B33" s="2"/>
      <c r="C33" s="2"/>
      <c r="D33" s="2"/>
      <c r="E33" s="12" t="s">
        <v>28</v>
      </c>
      <c r="F33" s="192"/>
      <c r="G33" s="194"/>
      <c r="H33" s="196"/>
      <c r="I33" s="198"/>
      <c r="J33" s="179"/>
      <c r="K33" s="181"/>
      <c r="L33" s="209"/>
      <c r="M33" s="211"/>
    </row>
    <row r="34" spans="1:13" ht="21.95" customHeight="1" thickBot="1" x14ac:dyDescent="0.35">
      <c r="A34" s="184" t="s">
        <v>33</v>
      </c>
      <c r="B34" s="185"/>
      <c r="C34" s="185"/>
      <c r="D34" s="185"/>
      <c r="E34" s="186"/>
      <c r="F34" s="70" t="s">
        <v>33</v>
      </c>
      <c r="G34" s="70"/>
      <c r="H34" s="70"/>
      <c r="I34" s="70"/>
      <c r="J34" s="70"/>
      <c r="K34" s="70"/>
      <c r="L34" s="70"/>
      <c r="M34" s="70"/>
    </row>
    <row r="35" spans="1:13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212" t="s">
        <v>18</v>
      </c>
      <c r="M35" s="206" t="s">
        <v>8</v>
      </c>
    </row>
    <row r="36" spans="1:13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213"/>
      <c r="M36" s="207"/>
    </row>
    <row r="37" spans="1:13" ht="21.95" customHeight="1" x14ac:dyDescent="0.3">
      <c r="A37" s="189" t="s">
        <v>26</v>
      </c>
      <c r="B37" s="3"/>
      <c r="C37" s="3"/>
      <c r="D37" s="3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-47</v>
      </c>
      <c r="J37" s="178" t="str">
        <f>IF(OR(I37-H37&gt;10,I37-H37=-47),"No Peak Found",I37-H37)</f>
        <v>No Peak Found</v>
      </c>
      <c r="K37" s="180" t="s">
        <v>9</v>
      </c>
      <c r="L37" s="208" t="str">
        <f>IF(OR(COUNTIF(B37:D38, "-")+COUNTBLANK(B37:D38)=6), "Pass", IF(H37 &gt; I37, "Fail", IF(J37 &lt; 3, "Margin 부족", "Pass")))</f>
        <v>Pass</v>
      </c>
      <c r="M37" s="210" t="s">
        <v>12</v>
      </c>
    </row>
    <row r="38" spans="1:13" ht="21.95" customHeight="1" thickBot="1" x14ac:dyDescent="0.35">
      <c r="A38" s="190"/>
      <c r="B38" s="7"/>
      <c r="C38" s="7"/>
      <c r="D38" s="7"/>
      <c r="E38" s="12" t="s">
        <v>28</v>
      </c>
      <c r="F38" s="192"/>
      <c r="G38" s="194"/>
      <c r="H38" s="196"/>
      <c r="I38" s="198"/>
      <c r="J38" s="179"/>
      <c r="K38" s="181"/>
      <c r="L38" s="209"/>
      <c r="M38" s="211"/>
    </row>
    <row r="39" spans="1:13" ht="21.95" customHeight="1" thickBot="1" x14ac:dyDescent="0.35"/>
    <row r="40" spans="1:13" ht="21.95" customHeight="1" x14ac:dyDescent="0.3">
      <c r="A40" s="30" t="s">
        <v>67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2"/>
    </row>
    <row r="41" spans="1:13" ht="21.95" customHeight="1" thickBot="1" x14ac:dyDescent="0.35">
      <c r="A41" s="3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5"/>
    </row>
    <row r="42" spans="1:13" ht="21.95" customHeight="1" x14ac:dyDescent="0.3">
      <c r="A42" s="52" t="s">
        <v>19</v>
      </c>
      <c r="B42" s="66" t="s">
        <v>47</v>
      </c>
      <c r="C42" s="52" t="s">
        <v>22</v>
      </c>
      <c r="D42" s="52" t="s">
        <v>23</v>
      </c>
      <c r="E42" s="52" t="s">
        <v>20</v>
      </c>
      <c r="F42" s="52" t="s">
        <v>21</v>
      </c>
      <c r="G42" s="52" t="s">
        <v>24</v>
      </c>
      <c r="H42" s="54" t="s">
        <v>39</v>
      </c>
      <c r="I42" s="55" t="s">
        <v>37</v>
      </c>
      <c r="J42" s="56" t="s">
        <v>40</v>
      </c>
      <c r="K42" s="57"/>
      <c r="L42" s="57"/>
      <c r="M42" s="58"/>
    </row>
    <row r="43" spans="1:13" ht="21.95" customHeight="1" x14ac:dyDescent="0.3">
      <c r="A43" s="53"/>
      <c r="B43" s="53"/>
      <c r="C43" s="53"/>
      <c r="D43" s="53"/>
      <c r="E43" s="53"/>
      <c r="F43" s="53"/>
      <c r="G43" s="53"/>
      <c r="H43" s="52"/>
      <c r="I43" s="52"/>
      <c r="J43" s="59"/>
      <c r="K43" s="60"/>
      <c r="L43" s="60"/>
      <c r="M43" s="61"/>
    </row>
    <row r="44" spans="1:13" ht="21.95" customHeight="1" x14ac:dyDescent="0.3">
      <c r="A44" s="62" t="s">
        <v>60</v>
      </c>
      <c r="B44" s="257"/>
      <c r="C44" s="36"/>
      <c r="D44" s="36"/>
      <c r="E44" s="36"/>
      <c r="F44" s="36"/>
      <c r="G44" s="36"/>
      <c r="H44" s="37">
        <v>15</v>
      </c>
      <c r="I44" s="37"/>
      <c r="J44" s="39"/>
      <c r="K44" s="40"/>
      <c r="L44" s="40"/>
      <c r="M44" s="41"/>
    </row>
    <row r="45" spans="1:13" ht="21.95" customHeight="1" thickBot="1" x14ac:dyDescent="0.35">
      <c r="A45" s="63"/>
      <c r="B45" s="258"/>
      <c r="C45" s="37"/>
      <c r="D45" s="37"/>
      <c r="E45" s="37"/>
      <c r="F45" s="37"/>
      <c r="G45" s="37"/>
      <c r="H45" s="38"/>
      <c r="I45" s="38"/>
      <c r="J45" s="42"/>
      <c r="K45" s="43"/>
      <c r="L45" s="43"/>
      <c r="M45" s="44"/>
    </row>
    <row r="46" spans="1:13" ht="21.95" customHeight="1" x14ac:dyDescent="0.3">
      <c r="A46" s="45" t="s">
        <v>44</v>
      </c>
      <c r="B46" s="46"/>
      <c r="C46" s="46"/>
      <c r="D46" s="46"/>
      <c r="E46" s="47"/>
      <c r="F46" s="51" t="s">
        <v>50</v>
      </c>
      <c r="G46" s="46"/>
      <c r="H46" s="46"/>
      <c r="I46" s="46"/>
      <c r="J46" s="46"/>
      <c r="K46" s="46"/>
      <c r="L46" s="46"/>
      <c r="M46" s="47"/>
    </row>
    <row r="47" spans="1:13" ht="21.95" customHeight="1" x14ac:dyDescent="0.3">
      <c r="A47" s="48"/>
      <c r="B47" s="49"/>
      <c r="C47" s="49"/>
      <c r="D47" s="49"/>
      <c r="E47" s="50"/>
      <c r="F47" s="49"/>
      <c r="G47" s="49"/>
      <c r="H47" s="49"/>
      <c r="I47" s="49"/>
      <c r="J47" s="49"/>
      <c r="K47" s="49"/>
      <c r="L47" s="49"/>
      <c r="M47" s="50"/>
    </row>
    <row r="48" spans="1:13" ht="21.95" customHeight="1" thickBot="1" x14ac:dyDescent="0.35">
      <c r="A48" s="67" t="s">
        <v>7</v>
      </c>
      <c r="B48" s="68"/>
      <c r="C48" s="68"/>
      <c r="D48" s="68"/>
      <c r="E48" s="69"/>
      <c r="F48" s="68" t="s">
        <v>7</v>
      </c>
      <c r="G48" s="68"/>
      <c r="H48" s="68"/>
      <c r="I48" s="68"/>
      <c r="J48" s="70"/>
      <c r="K48" s="68"/>
      <c r="L48" s="68"/>
      <c r="M48" s="69"/>
    </row>
    <row r="49" spans="1:16" ht="21.95" customHeight="1" thickTop="1" x14ac:dyDescent="0.3">
      <c r="A49" s="71" t="s">
        <v>43</v>
      </c>
      <c r="B49" s="73" t="s">
        <v>4</v>
      </c>
      <c r="C49" s="73" t="s">
        <v>15</v>
      </c>
      <c r="D49" s="73" t="s">
        <v>3</v>
      </c>
      <c r="E49" s="75" t="s">
        <v>2</v>
      </c>
      <c r="F49" s="71" t="s">
        <v>43</v>
      </c>
      <c r="G49" s="77" t="s">
        <v>17</v>
      </c>
      <c r="H49" s="77" t="s">
        <v>29</v>
      </c>
      <c r="I49" s="79" t="s">
        <v>41</v>
      </c>
      <c r="J49" s="81" t="s">
        <v>42</v>
      </c>
      <c r="K49" s="83" t="s">
        <v>10</v>
      </c>
      <c r="L49" s="212" t="s">
        <v>18</v>
      </c>
      <c r="M49" s="206" t="s">
        <v>8</v>
      </c>
    </row>
    <row r="50" spans="1:16" ht="21.95" customHeight="1" x14ac:dyDescent="0.3">
      <c r="A50" s="72"/>
      <c r="B50" s="74"/>
      <c r="C50" s="74"/>
      <c r="D50" s="74"/>
      <c r="E50" s="76"/>
      <c r="F50" s="72"/>
      <c r="G50" s="78"/>
      <c r="H50" s="78"/>
      <c r="I50" s="80"/>
      <c r="J50" s="82"/>
      <c r="K50" s="84"/>
      <c r="L50" s="213"/>
      <c r="M50" s="207"/>
    </row>
    <row r="51" spans="1:16" ht="21.95" customHeight="1" x14ac:dyDescent="0.3">
      <c r="A51" s="95" t="s">
        <v>26</v>
      </c>
      <c r="B51" s="3"/>
      <c r="C51" s="3"/>
      <c r="D51" s="3"/>
      <c r="E51" s="11" t="s">
        <v>27</v>
      </c>
      <c r="F51" s="97" t="str">
        <f>A51</f>
        <v>Spurious</v>
      </c>
      <c r="G51" s="99" t="str">
        <f>IF(COUNT(B51:D51)=0, "H", IF(COUNT(B52:D52)=0, "V", IF(MAX(B51:D51) &gt;= MAX(B52:D52), "V", "H")))</f>
        <v>H</v>
      </c>
      <c r="H51" s="101">
        <f>MAX(B51:D52)</f>
        <v>0</v>
      </c>
      <c r="I51" s="103">
        <v>-36</v>
      </c>
      <c r="J51" s="105" t="str">
        <f>IF(OR(I51-H51&gt;10,I51-H51=-36),"No Peak Found",I51-H51)</f>
        <v>No Peak Found</v>
      </c>
      <c r="K51" s="89" t="s">
        <v>9</v>
      </c>
      <c r="L51" s="208" t="str">
        <f>IF(OR(COUNTIF(B51:D52, "-")+COUNTBLANK(B51:D52)=6), "Pass", IF(H51 &gt; I51, "Fail", IF(J51 &lt; 3, "Margin 부족", "Pass")))</f>
        <v>Pass</v>
      </c>
      <c r="M51" s="224" t="s">
        <v>12</v>
      </c>
    </row>
    <row r="52" spans="1:16" ht="21.95" customHeight="1" thickBot="1" x14ac:dyDescent="0.35">
      <c r="A52" s="96"/>
      <c r="B52" s="7"/>
      <c r="C52" s="7"/>
      <c r="D52" s="7"/>
      <c r="E52" s="12" t="s">
        <v>28</v>
      </c>
      <c r="F52" s="98"/>
      <c r="G52" s="100"/>
      <c r="H52" s="102"/>
      <c r="I52" s="104"/>
      <c r="J52" s="106"/>
      <c r="K52" s="90"/>
      <c r="L52" s="209"/>
      <c r="M52" s="225"/>
    </row>
    <row r="53" spans="1:16" ht="21.95" customHeight="1" thickBot="1" x14ac:dyDescent="0.35">
      <c r="A53" s="120" t="s">
        <v>53</v>
      </c>
      <c r="B53" s="121"/>
      <c r="C53" s="121"/>
      <c r="D53" s="121"/>
      <c r="E53" s="121"/>
      <c r="F53" s="122" t="s">
        <v>53</v>
      </c>
      <c r="G53" s="123"/>
      <c r="H53" s="123"/>
      <c r="I53" s="123"/>
      <c r="J53" s="70"/>
      <c r="K53" s="123"/>
      <c r="L53" s="124"/>
      <c r="M53" s="125"/>
      <c r="N53" s="8" t="s">
        <v>8</v>
      </c>
      <c r="O53" s="6"/>
      <c r="P53" s="6"/>
    </row>
    <row r="54" spans="1:16" ht="21.95" customHeight="1" thickTop="1" x14ac:dyDescent="0.3">
      <c r="A54" s="126" t="s">
        <v>43</v>
      </c>
      <c r="B54" s="128" t="s">
        <v>14</v>
      </c>
      <c r="C54" s="128" t="s">
        <v>15</v>
      </c>
      <c r="D54" s="128" t="s">
        <v>16</v>
      </c>
      <c r="E54" s="130" t="s">
        <v>17</v>
      </c>
      <c r="F54" s="126" t="s">
        <v>43</v>
      </c>
      <c r="G54" s="132" t="s">
        <v>17</v>
      </c>
      <c r="H54" s="132" t="s">
        <v>29</v>
      </c>
      <c r="I54" s="133" t="s">
        <v>41</v>
      </c>
      <c r="J54" s="81" t="s">
        <v>42</v>
      </c>
      <c r="K54" s="134" t="s">
        <v>10</v>
      </c>
      <c r="L54" s="220" t="s">
        <v>18</v>
      </c>
      <c r="M54" s="222" t="s">
        <v>8</v>
      </c>
      <c r="N54" s="163" t="str">
        <f>"1. Sub6 NR Band : " &amp; VALUE(RIGHT(A7, LEN(A7)-1))</f>
        <v>1. Sub6 NR Band : 20</v>
      </c>
      <c r="O54" s="164"/>
      <c r="P54" s="164"/>
    </row>
    <row r="55" spans="1:16" ht="21.95" customHeight="1" x14ac:dyDescent="0.3">
      <c r="A55" s="127"/>
      <c r="B55" s="129"/>
      <c r="C55" s="129"/>
      <c r="D55" s="129"/>
      <c r="E55" s="131"/>
      <c r="F55" s="127"/>
      <c r="G55" s="78"/>
      <c r="H55" s="78"/>
      <c r="I55" s="80"/>
      <c r="J55" s="82"/>
      <c r="K55" s="135"/>
      <c r="L55" s="221"/>
      <c r="M55" s="223"/>
      <c r="N55" s="152" t="str">
        <f>"2. SCS : " &amp; H7 &amp; " kHz"</f>
        <v>2. SCS : 15 kHz</v>
      </c>
      <c r="O55" s="153"/>
      <c r="P55" s="153"/>
    </row>
    <row r="56" spans="1:16" ht="21.95" customHeight="1" x14ac:dyDescent="0.3">
      <c r="A56" s="140">
        <f>J7*2</f>
        <v>0</v>
      </c>
      <c r="B56" s="4"/>
      <c r="C56" s="4"/>
      <c r="D56" s="4"/>
      <c r="E56" s="13" t="s">
        <v>1</v>
      </c>
      <c r="F56" s="142">
        <f>$A$19</f>
        <v>0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-30</v>
      </c>
      <c r="J56" s="143" t="str">
        <f>IF(OR(I56-H56&gt;10,I56-H56=-30),"No Peak Found",I56-H56)</f>
        <v>No Peak Found</v>
      </c>
      <c r="K56" s="144" t="s">
        <v>9</v>
      </c>
      <c r="L56" s="216" t="str">
        <f>IF(OR(COUNTIF(B56:D57, "-")+COUNTBLANK(B56:D57)=6), "Pass", IF(H56 &gt; I56, "Fail", IF(J56 &lt; 3, "Margin 부족", "Pass")))</f>
        <v>Pass</v>
      </c>
      <c r="M56" s="214" t="s">
        <v>11</v>
      </c>
      <c r="N56" s="152" t="str">
        <f>"3. The test was performed the " &amp; I7 &amp; " antenna."</f>
        <v>3. The test was performed the  antenna.</v>
      </c>
      <c r="O56" s="153"/>
      <c r="P56" s="153"/>
    </row>
    <row r="57" spans="1:16" ht="21.95" customHeight="1" x14ac:dyDescent="0.3">
      <c r="A57" s="141"/>
      <c r="B57" s="4"/>
      <c r="C57" s="4"/>
      <c r="D57" s="4"/>
      <c r="E57" s="13" t="s">
        <v>0</v>
      </c>
      <c r="F57" s="142"/>
      <c r="G57" s="99"/>
      <c r="H57" s="101"/>
      <c r="I57" s="103"/>
      <c r="J57" s="143"/>
      <c r="K57" s="144"/>
      <c r="L57" s="217"/>
      <c r="M57" s="218"/>
      <c r="N57" s="152" t="str">
        <f>"4. " &amp; LEFT(A46, FIND(" ", A46 &amp; " ") - 1) &amp; " Mode Test."</f>
        <v>4. SA Mode Test.</v>
      </c>
      <c r="O57" s="154"/>
      <c r="P57" s="154"/>
    </row>
    <row r="58" spans="1:16" ht="21.95" customHeight="1" x14ac:dyDescent="0.3">
      <c r="A58" s="140">
        <f>J7*3</f>
        <v>0</v>
      </c>
      <c r="B58" s="4"/>
      <c r="C58" s="4"/>
      <c r="D58" s="4"/>
      <c r="E58" s="13" t="s">
        <v>1</v>
      </c>
      <c r="F58" s="148">
        <f>$A$21</f>
        <v>0</v>
      </c>
      <c r="G58" s="99" t="str">
        <f>IF(COUNT(B58:D58)=0, "H", IF(COUNT(B59:D59)=0, "V", IF(MAX(B58:D58) &gt;= MAX(B59:D59), "V", "H")))</f>
        <v>H</v>
      </c>
      <c r="H58" s="101">
        <f>MAX(B58:D59)</f>
        <v>0</v>
      </c>
      <c r="I58" s="149">
        <v>-30</v>
      </c>
      <c r="J58" s="143" t="str">
        <f t="shared" ref="J58" si="3">IF(OR(I58-H58&gt;10,I58-H58=-30),"No Peak Found",I58-H58)</f>
        <v>No Peak Found</v>
      </c>
      <c r="K58" s="150" t="s">
        <v>9</v>
      </c>
      <c r="L58" s="216" t="str">
        <f>IF(OR(COUNTIF(B58:D59, "-")+COUNTBLANK(B58:D59)=6), "Pass", IF(H58 &gt; I58, "Fail", IF(J58 &lt; 3, "Margin 부족", "Pass")))</f>
        <v>Pass</v>
      </c>
      <c r="M58" s="214" t="s">
        <v>11</v>
      </c>
    </row>
    <row r="59" spans="1:16" ht="21.95" customHeight="1" x14ac:dyDescent="0.3">
      <c r="A59" s="141"/>
      <c r="B59" s="4"/>
      <c r="C59" s="4"/>
      <c r="D59" s="4"/>
      <c r="E59" s="13" t="s">
        <v>0</v>
      </c>
      <c r="F59" s="148"/>
      <c r="G59" s="99"/>
      <c r="H59" s="101"/>
      <c r="I59" s="149"/>
      <c r="J59" s="143"/>
      <c r="K59" s="150"/>
      <c r="L59" s="217"/>
      <c r="M59" s="218"/>
    </row>
    <row r="60" spans="1:16" ht="21.95" customHeight="1" x14ac:dyDescent="0.3">
      <c r="A60" s="140">
        <f>J7*4</f>
        <v>0</v>
      </c>
      <c r="B60" s="4"/>
      <c r="C60" s="4"/>
      <c r="D60" s="4"/>
      <c r="E60" s="13" t="s">
        <v>1</v>
      </c>
      <c r="F60" s="142">
        <f>$A$23</f>
        <v>0</v>
      </c>
      <c r="G60" s="99" t="str">
        <f>IF(COUNT(B60:D60)=0, "H", IF(COUNT(B61:D61)=0, "V", IF(MAX(B60:D60) &gt;= MAX(B61:D61), "V", "H")))</f>
        <v>H</v>
      </c>
      <c r="H60" s="101">
        <f>MAX(B60:D61)</f>
        <v>0</v>
      </c>
      <c r="I60" s="149">
        <v>-30</v>
      </c>
      <c r="J60" s="143" t="str">
        <f t="shared" ref="J60" si="4">IF(OR(I60-H60&gt;10,I60-H60=-30),"No Peak Found",I60-H60)</f>
        <v>No Peak Found</v>
      </c>
      <c r="K60" s="171" t="s">
        <v>9</v>
      </c>
      <c r="L60" s="216" t="str">
        <f>IF(OR(COUNTIF(B60:D61, "-")+COUNTBLANK(B60:D61)=6), "Pass", IF(H60 &gt; I60, "Fail", IF(J60 &lt; 3, "Margin 부족", "Pass")))</f>
        <v>Pass</v>
      </c>
      <c r="M60" s="214" t="s">
        <v>11</v>
      </c>
    </row>
    <row r="61" spans="1:16" ht="21.95" customHeight="1" x14ac:dyDescent="0.3">
      <c r="A61" s="141"/>
      <c r="B61" s="4"/>
      <c r="C61" s="4"/>
      <c r="D61" s="4"/>
      <c r="E61" s="13" t="s">
        <v>0</v>
      </c>
      <c r="F61" s="142"/>
      <c r="G61" s="99"/>
      <c r="H61" s="101"/>
      <c r="I61" s="149"/>
      <c r="J61" s="143"/>
      <c r="K61" s="171"/>
      <c r="L61" s="217"/>
      <c r="M61" s="218"/>
    </row>
    <row r="62" spans="1:16" ht="21.95" customHeight="1" x14ac:dyDescent="0.3">
      <c r="A62" s="140">
        <f>J7*5</f>
        <v>0</v>
      </c>
      <c r="B62" s="4"/>
      <c r="C62" s="4"/>
      <c r="D62" s="4"/>
      <c r="E62" s="13" t="s">
        <v>1</v>
      </c>
      <c r="F62" s="148">
        <f>$A$25</f>
        <v>0</v>
      </c>
      <c r="G62" s="99" t="str">
        <f>IF(COUNT(B62:D62)=0, "H", IF(COUNT(B63:D63)=0, "V", IF(MAX(B62:D62) &gt;= MAX(B63:D63), "V", "H")))</f>
        <v>H</v>
      </c>
      <c r="H62" s="101">
        <f>MAX(B62:D63)</f>
        <v>0</v>
      </c>
      <c r="I62" s="149">
        <v>-30</v>
      </c>
      <c r="J62" s="143" t="str">
        <f t="shared" ref="J62" si="5">IF(OR(I62-H62&gt;10,I62-H62=-30),"No Peak Found",I62-H62)</f>
        <v>No Peak Found</v>
      </c>
      <c r="K62" s="171" t="s">
        <v>9</v>
      </c>
      <c r="L62" s="216" t="str">
        <f>IF(OR(COUNTIF(B62:D63, "-")+COUNTBLANK(B62:D63)=6), "Pass", IF(H62 &gt; I62, "Fail", IF(J62 &lt; 3, "Margin 부족", "Pass")))</f>
        <v>Pass</v>
      </c>
      <c r="M62" s="214" t="s">
        <v>11</v>
      </c>
    </row>
    <row r="63" spans="1:16" ht="21.95" customHeight="1" thickBot="1" x14ac:dyDescent="0.35">
      <c r="A63" s="165"/>
      <c r="B63" s="9"/>
      <c r="C63" s="9"/>
      <c r="D63" s="9"/>
      <c r="E63" s="14" t="s">
        <v>28</v>
      </c>
      <c r="F63" s="166"/>
      <c r="G63" s="167"/>
      <c r="H63" s="168"/>
      <c r="I63" s="169"/>
      <c r="J63" s="170"/>
      <c r="K63" s="172"/>
      <c r="L63" s="219"/>
      <c r="M63" s="215"/>
    </row>
    <row r="64" spans="1:16" ht="21.95" customHeight="1" x14ac:dyDescent="0.3">
      <c r="A64" s="155" t="s">
        <v>45</v>
      </c>
      <c r="B64" s="156"/>
      <c r="C64" s="156"/>
      <c r="D64" s="156"/>
      <c r="E64" s="157"/>
      <c r="F64" s="159" t="s">
        <v>51</v>
      </c>
      <c r="G64" s="159"/>
      <c r="H64" s="159"/>
      <c r="I64" s="159"/>
      <c r="J64" s="159"/>
      <c r="K64" s="159"/>
      <c r="L64" s="159"/>
      <c r="M64" s="160"/>
    </row>
    <row r="65" spans="1:13" ht="21.95" customHeight="1" x14ac:dyDescent="0.3">
      <c r="A65" s="158"/>
      <c r="B65" s="156"/>
      <c r="C65" s="156"/>
      <c r="D65" s="156"/>
      <c r="E65" s="157"/>
      <c r="F65" s="161"/>
      <c r="G65" s="161"/>
      <c r="H65" s="161"/>
      <c r="I65" s="161"/>
      <c r="J65" s="161"/>
      <c r="K65" s="161"/>
      <c r="L65" s="161"/>
      <c r="M65" s="162"/>
    </row>
    <row r="66" spans="1:13" ht="21.95" customHeight="1" thickBot="1" x14ac:dyDescent="0.35">
      <c r="A66" s="174" t="s">
        <v>6</v>
      </c>
      <c r="B66" s="175"/>
      <c r="C66" s="175"/>
      <c r="D66" s="175"/>
      <c r="E66" s="176"/>
      <c r="F66" s="177" t="s">
        <v>6</v>
      </c>
      <c r="G66" s="177"/>
      <c r="H66" s="177"/>
      <c r="I66" s="177"/>
      <c r="J66" s="177"/>
      <c r="K66" s="177"/>
      <c r="L66" s="177"/>
      <c r="M66" s="177"/>
    </row>
    <row r="67" spans="1:13" ht="21.95" customHeight="1" thickTop="1" x14ac:dyDescent="0.3">
      <c r="A67" s="71" t="s">
        <v>43</v>
      </c>
      <c r="B67" s="73" t="s">
        <v>14</v>
      </c>
      <c r="C67" s="73" t="s">
        <v>15</v>
      </c>
      <c r="D67" s="73" t="s">
        <v>16</v>
      </c>
      <c r="E67" s="75" t="s">
        <v>17</v>
      </c>
      <c r="F67" s="71" t="s">
        <v>43</v>
      </c>
      <c r="G67" s="77" t="s">
        <v>17</v>
      </c>
      <c r="H67" s="77" t="s">
        <v>29</v>
      </c>
      <c r="I67" s="79" t="s">
        <v>41</v>
      </c>
      <c r="J67" s="81" t="s">
        <v>42</v>
      </c>
      <c r="K67" s="187" t="s">
        <v>10</v>
      </c>
      <c r="L67" s="212" t="s">
        <v>18</v>
      </c>
      <c r="M67" s="206" t="s">
        <v>8</v>
      </c>
    </row>
    <row r="68" spans="1:13" ht="21.95" customHeight="1" x14ac:dyDescent="0.3">
      <c r="A68" s="72"/>
      <c r="B68" s="74"/>
      <c r="C68" s="74"/>
      <c r="D68" s="74"/>
      <c r="E68" s="76"/>
      <c r="F68" s="72"/>
      <c r="G68" s="78"/>
      <c r="H68" s="78"/>
      <c r="I68" s="80"/>
      <c r="J68" s="82"/>
      <c r="K68" s="188"/>
      <c r="L68" s="213"/>
      <c r="M68" s="207"/>
    </row>
    <row r="69" spans="1:13" ht="21.95" customHeight="1" x14ac:dyDescent="0.3">
      <c r="A69" s="189" t="s">
        <v>26</v>
      </c>
      <c r="B69" s="10"/>
      <c r="C69" s="1"/>
      <c r="D69" s="1"/>
      <c r="E69" s="11" t="s">
        <v>27</v>
      </c>
      <c r="F69" s="191" t="str">
        <f>A69</f>
        <v>Spurious</v>
      </c>
      <c r="G69" s="193" t="str">
        <f>IF(COUNT(B69:D69)=0, "H", IF(COUNT(B70:D70)=0, "V", IF(MAX(B69:D69) &gt;= MAX(B70:D70), "V", "H")))</f>
        <v>H</v>
      </c>
      <c r="H69" s="195">
        <f>MAX(B69:D70)</f>
        <v>0</v>
      </c>
      <c r="I69" s="197">
        <v>-57</v>
      </c>
      <c r="J69" s="178" t="str">
        <f>IF(OR(I69-H69&gt;10,I69-H69=-57),"No Peak Found",I69-H69)</f>
        <v>No Peak Found</v>
      </c>
      <c r="K69" s="180" t="s">
        <v>9</v>
      </c>
      <c r="L69" s="208" t="str">
        <f>IF(OR(COUNTIF(B69:D70, "-")+COUNTBLANK(B69:D70)=6), "Pass", IF(H69 &gt; I69, "Fail", IF(J69 &lt; 3, "Margin 부족", "Pass")))</f>
        <v>Pass</v>
      </c>
      <c r="M69" s="210" t="s">
        <v>12</v>
      </c>
    </row>
    <row r="70" spans="1:13" ht="21.95" customHeight="1" thickBot="1" x14ac:dyDescent="0.35">
      <c r="A70" s="190"/>
      <c r="B70" s="2"/>
      <c r="C70" s="2"/>
      <c r="D70" s="2"/>
      <c r="E70" s="12" t="s">
        <v>28</v>
      </c>
      <c r="F70" s="192"/>
      <c r="G70" s="194"/>
      <c r="H70" s="196"/>
      <c r="I70" s="198"/>
      <c r="J70" s="179"/>
      <c r="K70" s="181"/>
      <c r="L70" s="209"/>
      <c r="M70" s="211"/>
    </row>
    <row r="71" spans="1:13" ht="21.95" customHeight="1" thickBot="1" x14ac:dyDescent="0.35">
      <c r="A71" s="184" t="s">
        <v>33</v>
      </c>
      <c r="B71" s="185"/>
      <c r="C71" s="185"/>
      <c r="D71" s="185"/>
      <c r="E71" s="186"/>
      <c r="F71" s="70" t="s">
        <v>33</v>
      </c>
      <c r="G71" s="70"/>
      <c r="H71" s="70"/>
      <c r="I71" s="70"/>
      <c r="J71" s="70"/>
      <c r="K71" s="70"/>
      <c r="L71" s="70"/>
      <c r="M71" s="70"/>
    </row>
    <row r="72" spans="1:13" ht="21.95" customHeight="1" thickTop="1" x14ac:dyDescent="0.3">
      <c r="A72" s="71" t="s">
        <v>43</v>
      </c>
      <c r="B72" s="73" t="s">
        <v>14</v>
      </c>
      <c r="C72" s="73" t="s">
        <v>15</v>
      </c>
      <c r="D72" s="73" t="s">
        <v>16</v>
      </c>
      <c r="E72" s="75" t="s">
        <v>17</v>
      </c>
      <c r="F72" s="71" t="s">
        <v>43</v>
      </c>
      <c r="G72" s="77" t="s">
        <v>17</v>
      </c>
      <c r="H72" s="77" t="s">
        <v>29</v>
      </c>
      <c r="I72" s="79" t="s">
        <v>41</v>
      </c>
      <c r="J72" s="81" t="s">
        <v>42</v>
      </c>
      <c r="K72" s="187" t="s">
        <v>10</v>
      </c>
      <c r="L72" s="212" t="s">
        <v>18</v>
      </c>
      <c r="M72" s="206" t="s">
        <v>8</v>
      </c>
    </row>
    <row r="73" spans="1:13" ht="21.95" customHeight="1" x14ac:dyDescent="0.3">
      <c r="A73" s="72"/>
      <c r="B73" s="74"/>
      <c r="C73" s="74"/>
      <c r="D73" s="74"/>
      <c r="E73" s="76"/>
      <c r="F73" s="72"/>
      <c r="G73" s="78"/>
      <c r="H73" s="78"/>
      <c r="I73" s="80"/>
      <c r="J73" s="82"/>
      <c r="K73" s="188"/>
      <c r="L73" s="213"/>
      <c r="M73" s="207"/>
    </row>
    <row r="74" spans="1:13" ht="21.95" customHeight="1" x14ac:dyDescent="0.3">
      <c r="A74" s="189" t="s">
        <v>26</v>
      </c>
      <c r="B74" s="10"/>
      <c r="C74" s="1"/>
      <c r="D74" s="1"/>
      <c r="E74" s="11" t="s">
        <v>27</v>
      </c>
      <c r="F74" s="191" t="str">
        <f>A74</f>
        <v>Spurious</v>
      </c>
      <c r="G74" s="193" t="str">
        <f>IF(COUNT(B74:D74)=0, "H", IF(COUNT(B75:D75)=0, "V", IF(MAX(B74:D74) &gt;= MAX(B75:D75), "V", "H")))</f>
        <v>H</v>
      </c>
      <c r="H74" s="195">
        <f>MAX(B74:D75)</f>
        <v>0</v>
      </c>
      <c r="I74" s="197">
        <v>-47</v>
      </c>
      <c r="J74" s="178" t="str">
        <f>IF(OR(I74-H74&gt;10,I74-H74=-47),"No Peak Found",I74-H74)</f>
        <v>No Peak Found</v>
      </c>
      <c r="K74" s="180" t="s">
        <v>9</v>
      </c>
      <c r="L74" s="208" t="str">
        <f>IF(OR(COUNTIF(B74:D75, "-")+COUNTBLANK(B74:D75)=6), "Pass", IF(H74 &gt; I74, "Fail", IF(J74 &lt; 3, "Margin 부족", "Pass")))</f>
        <v>Pass</v>
      </c>
      <c r="M74" s="210" t="s">
        <v>12</v>
      </c>
    </row>
    <row r="75" spans="1:13" ht="21.95" customHeight="1" thickBot="1" x14ac:dyDescent="0.35">
      <c r="A75" s="190"/>
      <c r="B75" s="2"/>
      <c r="C75" s="2"/>
      <c r="D75" s="2"/>
      <c r="E75" s="12" t="s">
        <v>28</v>
      </c>
      <c r="F75" s="192"/>
      <c r="G75" s="194"/>
      <c r="H75" s="196"/>
      <c r="I75" s="198"/>
      <c r="J75" s="179"/>
      <c r="K75" s="181"/>
      <c r="L75" s="209"/>
      <c r="M75" s="211"/>
    </row>
  </sheetData>
  <mergeCells count="309">
    <mergeCell ref="J74:J75"/>
    <mergeCell ref="K74:K75"/>
    <mergeCell ref="L74:L75"/>
    <mergeCell ref="M74:M75"/>
    <mergeCell ref="I72:I73"/>
    <mergeCell ref="J72:J73"/>
    <mergeCell ref="K72:K73"/>
    <mergeCell ref="L72:L73"/>
    <mergeCell ref="M72:M73"/>
    <mergeCell ref="A74:A75"/>
    <mergeCell ref="F74:F75"/>
    <mergeCell ref="G74:G75"/>
    <mergeCell ref="H74:H75"/>
    <mergeCell ref="I74:I75"/>
    <mergeCell ref="A71:E71"/>
    <mergeCell ref="F71:M71"/>
    <mergeCell ref="A72:A73"/>
    <mergeCell ref="B72:B73"/>
    <mergeCell ref="C72:C73"/>
    <mergeCell ref="D72:D73"/>
    <mergeCell ref="E72:E73"/>
    <mergeCell ref="F72:F73"/>
    <mergeCell ref="G72:G73"/>
    <mergeCell ref="H72:H73"/>
    <mergeCell ref="M67:M68"/>
    <mergeCell ref="A69:A70"/>
    <mergeCell ref="F69:F70"/>
    <mergeCell ref="G69:G70"/>
    <mergeCell ref="H69:H70"/>
    <mergeCell ref="I69:I70"/>
    <mergeCell ref="J69:J70"/>
    <mergeCell ref="K69:K70"/>
    <mergeCell ref="L69:L70"/>
    <mergeCell ref="M69:M70"/>
    <mergeCell ref="G67:G68"/>
    <mergeCell ref="H67:H68"/>
    <mergeCell ref="I67:I68"/>
    <mergeCell ref="J67:J68"/>
    <mergeCell ref="K67:K68"/>
    <mergeCell ref="L67:L68"/>
    <mergeCell ref="A64:E65"/>
    <mergeCell ref="F64:M65"/>
    <mergeCell ref="A66:E66"/>
    <mergeCell ref="F66:M66"/>
    <mergeCell ref="A67:A68"/>
    <mergeCell ref="B67:B68"/>
    <mergeCell ref="C67:C68"/>
    <mergeCell ref="D67:D68"/>
    <mergeCell ref="E67:E68"/>
    <mergeCell ref="F67:F68"/>
    <mergeCell ref="M60:M61"/>
    <mergeCell ref="A62:A63"/>
    <mergeCell ref="F62:F63"/>
    <mergeCell ref="G62:G63"/>
    <mergeCell ref="H62:H63"/>
    <mergeCell ref="I62:I63"/>
    <mergeCell ref="J62:J63"/>
    <mergeCell ref="K62:K63"/>
    <mergeCell ref="L62:L63"/>
    <mergeCell ref="M62:M63"/>
    <mergeCell ref="L58:L59"/>
    <mergeCell ref="M58:M59"/>
    <mergeCell ref="A60:A61"/>
    <mergeCell ref="F60:F61"/>
    <mergeCell ref="G60:G61"/>
    <mergeCell ref="H60:H61"/>
    <mergeCell ref="I60:I61"/>
    <mergeCell ref="J60:J61"/>
    <mergeCell ref="K60:K61"/>
    <mergeCell ref="L60:L61"/>
    <mergeCell ref="M56:M57"/>
    <mergeCell ref="N56:P56"/>
    <mergeCell ref="N57:P57"/>
    <mergeCell ref="A58:A59"/>
    <mergeCell ref="F58:F59"/>
    <mergeCell ref="G58:G59"/>
    <mergeCell ref="H58:H59"/>
    <mergeCell ref="I58:I59"/>
    <mergeCell ref="J58:J59"/>
    <mergeCell ref="K58:K59"/>
    <mergeCell ref="N54:P54"/>
    <mergeCell ref="N55:P55"/>
    <mergeCell ref="A56:A57"/>
    <mergeCell ref="F56:F57"/>
    <mergeCell ref="G56:G57"/>
    <mergeCell ref="H56:H57"/>
    <mergeCell ref="I56:I57"/>
    <mergeCell ref="J56:J57"/>
    <mergeCell ref="K56:K57"/>
    <mergeCell ref="L56:L57"/>
    <mergeCell ref="H54:H55"/>
    <mergeCell ref="I54:I55"/>
    <mergeCell ref="J54:J55"/>
    <mergeCell ref="K54:K55"/>
    <mergeCell ref="L54:L55"/>
    <mergeCell ref="M54:M55"/>
    <mergeCell ref="M51:M52"/>
    <mergeCell ref="A53:E53"/>
    <mergeCell ref="F53:M53"/>
    <mergeCell ref="A54:A55"/>
    <mergeCell ref="B54:B55"/>
    <mergeCell ref="C54:C55"/>
    <mergeCell ref="D54:D55"/>
    <mergeCell ref="E54:E55"/>
    <mergeCell ref="F54:F55"/>
    <mergeCell ref="G54:G55"/>
    <mergeCell ref="L49:L50"/>
    <mergeCell ref="M49:M50"/>
    <mergeCell ref="A51:A52"/>
    <mergeCell ref="F51:F52"/>
    <mergeCell ref="G51:G52"/>
    <mergeCell ref="H51:H52"/>
    <mergeCell ref="I51:I52"/>
    <mergeCell ref="J51:J52"/>
    <mergeCell ref="K51:K52"/>
    <mergeCell ref="L51:L52"/>
    <mergeCell ref="F49:F50"/>
    <mergeCell ref="G49:G50"/>
    <mergeCell ref="H49:H50"/>
    <mergeCell ref="I49:I50"/>
    <mergeCell ref="J49:J50"/>
    <mergeCell ref="K49:K50"/>
    <mergeCell ref="J44:M45"/>
    <mergeCell ref="A46:E47"/>
    <mergeCell ref="F46:M47"/>
    <mergeCell ref="A48:E48"/>
    <mergeCell ref="F48:M48"/>
    <mergeCell ref="A49:A50"/>
    <mergeCell ref="B49:B50"/>
    <mergeCell ref="C49:C50"/>
    <mergeCell ref="D49:D50"/>
    <mergeCell ref="E49:E50"/>
    <mergeCell ref="J42:M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A40:M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J32:J33"/>
    <mergeCell ref="K32:K33"/>
    <mergeCell ref="L32:L33"/>
    <mergeCell ref="M32:M33"/>
    <mergeCell ref="A34:E34"/>
    <mergeCell ref="F34:M34"/>
    <mergeCell ref="I30:I31"/>
    <mergeCell ref="J30:J31"/>
    <mergeCell ref="K30:K31"/>
    <mergeCell ref="L30:L31"/>
    <mergeCell ref="M30:M31"/>
    <mergeCell ref="A32:A33"/>
    <mergeCell ref="F32:F33"/>
    <mergeCell ref="G32:G33"/>
    <mergeCell ref="H32:H33"/>
    <mergeCell ref="I32:I33"/>
    <mergeCell ref="A29:E29"/>
    <mergeCell ref="F29:M29"/>
    <mergeCell ref="A30:A31"/>
    <mergeCell ref="B30:B31"/>
    <mergeCell ref="C30:C31"/>
    <mergeCell ref="D30:D31"/>
    <mergeCell ref="E30:E31"/>
    <mergeCell ref="F30:F31"/>
    <mergeCell ref="G30:G31"/>
    <mergeCell ref="H30:H31"/>
    <mergeCell ref="K25:K26"/>
    <mergeCell ref="L25:L26"/>
    <mergeCell ref="M25:M26"/>
    <mergeCell ref="N25:P25"/>
    <mergeCell ref="N26:P26"/>
    <mergeCell ref="A27:E28"/>
    <mergeCell ref="F27:M28"/>
    <mergeCell ref="L23:L24"/>
    <mergeCell ref="M23:M24"/>
    <mergeCell ref="N23:P23"/>
    <mergeCell ref="N24:P24"/>
    <mergeCell ref="A25:A26"/>
    <mergeCell ref="F25:F26"/>
    <mergeCell ref="G25:G26"/>
    <mergeCell ref="H25:H26"/>
    <mergeCell ref="I25:I26"/>
    <mergeCell ref="J25:J26"/>
    <mergeCell ref="K21:K22"/>
    <mergeCell ref="L21:L22"/>
    <mergeCell ref="M21:M22"/>
    <mergeCell ref="A23:A24"/>
    <mergeCell ref="F23:F24"/>
    <mergeCell ref="G23:G24"/>
    <mergeCell ref="H23:H24"/>
    <mergeCell ref="I23:I24"/>
    <mergeCell ref="J23:J24"/>
    <mergeCell ref="K23:K24"/>
    <mergeCell ref="A21:A22"/>
    <mergeCell ref="F21:F22"/>
    <mergeCell ref="G21:G22"/>
    <mergeCell ref="H21:H22"/>
    <mergeCell ref="I21:I22"/>
    <mergeCell ref="J21:J22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</mergeCells>
  <phoneticPr fontId="1" type="noConversion"/>
  <conditionalFormatting sqref="J14">
    <cfRule type="cellIs" dxfId="408" priority="44" operator="lessThan">
      <formula>10</formula>
    </cfRule>
  </conditionalFormatting>
  <conditionalFormatting sqref="J14">
    <cfRule type="cellIs" dxfId="407" priority="43" operator="equal">
      <formula>-36</formula>
    </cfRule>
  </conditionalFormatting>
  <conditionalFormatting sqref="L14">
    <cfRule type="cellIs" dxfId="406" priority="42" operator="equal">
      <formula>"Fail"</formula>
    </cfRule>
  </conditionalFormatting>
  <conditionalFormatting sqref="J19">
    <cfRule type="cellIs" dxfId="405" priority="40" operator="equal">
      <formula>-30</formula>
    </cfRule>
    <cfRule type="cellIs" dxfId="404" priority="41" operator="lessThan">
      <formula>10</formula>
    </cfRule>
  </conditionalFormatting>
  <conditionalFormatting sqref="L19">
    <cfRule type="cellIs" dxfId="403" priority="39" operator="equal">
      <formula>"Fail"</formula>
    </cfRule>
  </conditionalFormatting>
  <conditionalFormatting sqref="L21">
    <cfRule type="cellIs" dxfId="402" priority="38" operator="equal">
      <formula>"Fail"</formula>
    </cfRule>
  </conditionalFormatting>
  <conditionalFormatting sqref="L23">
    <cfRule type="cellIs" dxfId="401" priority="37" operator="equal">
      <formula>"Fail"</formula>
    </cfRule>
  </conditionalFormatting>
  <conditionalFormatting sqref="L25">
    <cfRule type="cellIs" dxfId="400" priority="36" operator="equal">
      <formula>"Fail"</formula>
    </cfRule>
  </conditionalFormatting>
  <conditionalFormatting sqref="V28">
    <cfRule type="cellIs" dxfId="399" priority="35" operator="equal">
      <formula>"Fail"</formula>
    </cfRule>
  </conditionalFormatting>
  <conditionalFormatting sqref="L14:L15 L19:L26">
    <cfRule type="cellIs" dxfId="398" priority="34" operator="equal">
      <formula>"Pass"</formula>
    </cfRule>
  </conditionalFormatting>
  <conditionalFormatting sqref="L32">
    <cfRule type="cellIs" dxfId="397" priority="33" operator="equal">
      <formula>"Fail"</formula>
    </cfRule>
  </conditionalFormatting>
  <conditionalFormatting sqref="L32:L33">
    <cfRule type="cellIs" dxfId="396" priority="32" operator="equal">
      <formula>"Pass"</formula>
    </cfRule>
  </conditionalFormatting>
  <conditionalFormatting sqref="L37">
    <cfRule type="cellIs" dxfId="395" priority="31" operator="equal">
      <formula>"Fail"</formula>
    </cfRule>
  </conditionalFormatting>
  <conditionalFormatting sqref="L37:L38">
    <cfRule type="cellIs" dxfId="394" priority="30" operator="equal">
      <formula>"Pass"</formula>
    </cfRule>
  </conditionalFormatting>
  <conditionalFormatting sqref="B14:D15">
    <cfRule type="top10" dxfId="393" priority="29" rank="1"/>
  </conditionalFormatting>
  <conditionalFormatting sqref="B19:D20">
    <cfRule type="top10" dxfId="392" priority="28" rank="1"/>
  </conditionalFormatting>
  <conditionalFormatting sqref="B21:D22">
    <cfRule type="top10" dxfId="391" priority="27" rank="1"/>
  </conditionalFormatting>
  <conditionalFormatting sqref="B23:D24">
    <cfRule type="top10" dxfId="390" priority="26" rank="1"/>
  </conditionalFormatting>
  <conditionalFormatting sqref="B25:D26">
    <cfRule type="top10" dxfId="389" priority="25" rank="1"/>
  </conditionalFormatting>
  <conditionalFormatting sqref="J21 J23 J25">
    <cfRule type="cellIs" dxfId="388" priority="23" operator="equal">
      <formula>-30</formula>
    </cfRule>
    <cfRule type="cellIs" dxfId="387" priority="24" operator="lessThan">
      <formula>10</formula>
    </cfRule>
  </conditionalFormatting>
  <conditionalFormatting sqref="J51">
    <cfRule type="cellIs" dxfId="386" priority="22" operator="lessThan">
      <formula>10</formula>
    </cfRule>
  </conditionalFormatting>
  <conditionalFormatting sqref="J51">
    <cfRule type="cellIs" dxfId="385" priority="21" operator="equal">
      <formula>-36</formula>
    </cfRule>
  </conditionalFormatting>
  <conditionalFormatting sqref="L51">
    <cfRule type="cellIs" dxfId="384" priority="20" operator="equal">
      <formula>"Fail"</formula>
    </cfRule>
  </conditionalFormatting>
  <conditionalFormatting sqref="J56">
    <cfRule type="cellIs" dxfId="383" priority="18" operator="equal">
      <formula>-30</formula>
    </cfRule>
    <cfRule type="cellIs" dxfId="382" priority="19" operator="lessThan">
      <formula>10</formula>
    </cfRule>
  </conditionalFormatting>
  <conditionalFormatting sqref="L56">
    <cfRule type="cellIs" dxfId="381" priority="17" operator="equal">
      <formula>"Fail"</formula>
    </cfRule>
  </conditionalFormatting>
  <conditionalFormatting sqref="L58">
    <cfRule type="cellIs" dxfId="380" priority="16" operator="equal">
      <formula>"Fail"</formula>
    </cfRule>
  </conditionalFormatting>
  <conditionalFormatting sqref="L60">
    <cfRule type="cellIs" dxfId="379" priority="15" operator="equal">
      <formula>"Fail"</formula>
    </cfRule>
  </conditionalFormatting>
  <conditionalFormatting sqref="L62">
    <cfRule type="cellIs" dxfId="378" priority="14" operator="equal">
      <formula>"Fail"</formula>
    </cfRule>
  </conditionalFormatting>
  <conditionalFormatting sqref="L51:L52 L56:L63">
    <cfRule type="cellIs" dxfId="377" priority="13" operator="equal">
      <formula>"Pass"</formula>
    </cfRule>
  </conditionalFormatting>
  <conditionalFormatting sqref="L69">
    <cfRule type="cellIs" dxfId="376" priority="12" operator="equal">
      <formula>"Fail"</formula>
    </cfRule>
  </conditionalFormatting>
  <conditionalFormatting sqref="L69:L70">
    <cfRule type="cellIs" dxfId="375" priority="11" operator="equal">
      <formula>"Pass"</formula>
    </cfRule>
  </conditionalFormatting>
  <conditionalFormatting sqref="L74">
    <cfRule type="cellIs" dxfId="374" priority="10" operator="equal">
      <formula>"Fail"</formula>
    </cfRule>
  </conditionalFormatting>
  <conditionalFormatting sqref="L74:L75">
    <cfRule type="cellIs" dxfId="373" priority="9" operator="equal">
      <formula>"Pass"</formula>
    </cfRule>
  </conditionalFormatting>
  <conditionalFormatting sqref="B51:D52">
    <cfRule type="top10" dxfId="372" priority="8" rank="1"/>
  </conditionalFormatting>
  <conditionalFormatting sqref="B56:D57">
    <cfRule type="top10" dxfId="371" priority="7" rank="1"/>
  </conditionalFormatting>
  <conditionalFormatting sqref="B58:D59">
    <cfRule type="top10" dxfId="370" priority="6" rank="1"/>
  </conditionalFormatting>
  <conditionalFormatting sqref="B60:D61">
    <cfRule type="top10" dxfId="369" priority="5" rank="1"/>
  </conditionalFormatting>
  <conditionalFormatting sqref="B62:D63">
    <cfRule type="top10" dxfId="368" priority="4" rank="1"/>
  </conditionalFormatting>
  <conditionalFormatting sqref="J58 J60 J62">
    <cfRule type="cellIs" dxfId="367" priority="2" operator="equal">
      <formula>-30</formula>
    </cfRule>
    <cfRule type="cellIs" dxfId="366" priority="3" operator="lessThan">
      <formula>10</formula>
    </cfRule>
  </conditionalFormatting>
  <conditionalFormatting sqref="B37:D38">
    <cfRule type="top10" dxfId="365" priority="1" rank="1"/>
  </conditionalFormatting>
  <dataValidations count="1">
    <dataValidation type="list" allowBlank="1" showInputMessage="1" showErrorMessage="1" sqref="M14 M25 M19 M21 M23 M32:M33 M51 M62 M56 M58 M60 M74:M75 M69:M70 M37:M38" xr:uid="{3D649617-0B0B-4432-9A00-F8BE7350F6C2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74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4751-DEA1-4CF9-849C-380A9ECA7C91}">
  <dimension ref="A1:P75"/>
  <sheetViews>
    <sheetView view="pageBreakPreview" zoomScale="85" zoomScaleNormal="100" zoomScaleSheetLayoutView="85" workbookViewId="0">
      <selection activeCell="F9" sqref="F9:M10"/>
    </sheetView>
  </sheetViews>
  <sheetFormatPr defaultRowHeight="16.5" outlineLevelCol="1" x14ac:dyDescent="0.3"/>
  <cols>
    <col min="1" max="11" width="12.625" style="6" customWidth="1"/>
    <col min="12" max="13" width="12.625" hidden="1" customWidth="1" outlineLevel="1"/>
    <col min="14" max="14" width="12.625" customWidth="1" collapsed="1"/>
    <col min="15" max="22" width="12.625" customWidth="1"/>
  </cols>
  <sheetData>
    <row r="1" spans="1:13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3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46</v>
      </c>
      <c r="H2" s="28"/>
      <c r="I2" s="28"/>
      <c r="J2" s="28"/>
      <c r="K2" s="28"/>
      <c r="L2" s="28"/>
      <c r="M2" s="29"/>
    </row>
    <row r="3" spans="1:13" ht="24.95" customHeight="1" x14ac:dyDescent="0.3">
      <c r="A3" s="30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3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3" ht="20.100000000000001" customHeight="1" x14ac:dyDescent="0.3">
      <c r="A7" s="62" t="s">
        <v>63</v>
      </c>
      <c r="B7" s="36"/>
      <c r="C7" s="36"/>
      <c r="D7" s="36"/>
      <c r="E7" s="36"/>
      <c r="F7" s="36"/>
      <c r="G7" s="36"/>
      <c r="H7" s="37">
        <v>15</v>
      </c>
      <c r="I7" s="37"/>
      <c r="J7" s="39"/>
      <c r="K7" s="40"/>
      <c r="L7" s="40"/>
      <c r="M7" s="41"/>
    </row>
    <row r="8" spans="1:13" ht="20.100000000000001" customHeight="1" thickBot="1" x14ac:dyDescent="0.35">
      <c r="A8" s="63"/>
      <c r="B8" s="37"/>
      <c r="C8" s="37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3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3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</row>
    <row r="11" spans="1:13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3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212" t="s">
        <v>18</v>
      </c>
      <c r="M12" s="206" t="s">
        <v>8</v>
      </c>
    </row>
    <row r="13" spans="1:13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213"/>
      <c r="M13" s="207"/>
    </row>
    <row r="14" spans="1:13" ht="21.95" customHeight="1" x14ac:dyDescent="0.3">
      <c r="A14" s="95" t="s">
        <v>26</v>
      </c>
      <c r="B14" s="3"/>
      <c r="C14" s="3"/>
      <c r="D14" s="3"/>
      <c r="E14" s="11" t="s">
        <v>27</v>
      </c>
      <c r="F14" s="226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208" t="str">
        <f>IF(OR(COUNTIF(B14:D15, "-")+COUNTBLANK(B14:D15)=6), "Pass", IF(H14 &gt; I14, "Fail", IF(J14 &lt; 3, "Margin 부족", "Pass")))</f>
        <v>Pass</v>
      </c>
      <c r="M14" s="224" t="s">
        <v>12</v>
      </c>
    </row>
    <row r="15" spans="1:13" ht="21.95" customHeight="1" thickBot="1" x14ac:dyDescent="0.35">
      <c r="A15" s="96"/>
      <c r="B15" s="7"/>
      <c r="C15" s="7"/>
      <c r="D15" s="7"/>
      <c r="E15" s="12" t="s">
        <v>28</v>
      </c>
      <c r="F15" s="227"/>
      <c r="G15" s="100"/>
      <c r="H15" s="102"/>
      <c r="I15" s="104"/>
      <c r="J15" s="106"/>
      <c r="K15" s="90"/>
      <c r="L15" s="209"/>
      <c r="M15" s="225"/>
    </row>
    <row r="16" spans="1:13" ht="21.95" customHeight="1" thickBot="1" x14ac:dyDescent="0.35">
      <c r="A16" s="120" t="s">
        <v>53</v>
      </c>
      <c r="B16" s="121"/>
      <c r="C16" s="121"/>
      <c r="D16" s="121"/>
      <c r="E16" s="121"/>
      <c r="F16" s="122" t="s">
        <v>53</v>
      </c>
      <c r="G16" s="123"/>
      <c r="H16" s="123"/>
      <c r="I16" s="123"/>
      <c r="J16" s="70"/>
      <c r="K16" s="123"/>
      <c r="L16" s="124"/>
      <c r="M16" s="125"/>
    </row>
    <row r="17" spans="1:16" ht="21.95" customHeight="1" thickTop="1" x14ac:dyDescent="0.3">
      <c r="A17" s="126" t="s">
        <v>43</v>
      </c>
      <c r="B17" s="128" t="s">
        <v>14</v>
      </c>
      <c r="C17" s="128" t="s">
        <v>15</v>
      </c>
      <c r="D17" s="128" t="s">
        <v>16</v>
      </c>
      <c r="E17" s="130" t="s">
        <v>17</v>
      </c>
      <c r="F17" s="126" t="s">
        <v>43</v>
      </c>
      <c r="G17" s="132" t="s">
        <v>17</v>
      </c>
      <c r="H17" s="132" t="s">
        <v>29</v>
      </c>
      <c r="I17" s="133" t="s">
        <v>41</v>
      </c>
      <c r="J17" s="81" t="s">
        <v>42</v>
      </c>
      <c r="K17" s="134" t="s">
        <v>10</v>
      </c>
      <c r="L17" s="220" t="s">
        <v>18</v>
      </c>
      <c r="M17" s="222" t="s">
        <v>8</v>
      </c>
    </row>
    <row r="18" spans="1:16" ht="21.75" customHeight="1" x14ac:dyDescent="0.3">
      <c r="A18" s="127"/>
      <c r="B18" s="129"/>
      <c r="C18" s="129"/>
      <c r="D18" s="129"/>
      <c r="E18" s="131"/>
      <c r="F18" s="127"/>
      <c r="G18" s="78"/>
      <c r="H18" s="78"/>
      <c r="I18" s="80"/>
      <c r="J18" s="82"/>
      <c r="K18" s="135"/>
      <c r="L18" s="221"/>
      <c r="M18" s="223"/>
    </row>
    <row r="19" spans="1:16" ht="21.95" customHeight="1" x14ac:dyDescent="0.3">
      <c r="A19" s="140">
        <f>J7*2</f>
        <v>0</v>
      </c>
      <c r="B19" s="4"/>
      <c r="C19" s="4"/>
      <c r="D19" s="4"/>
      <c r="E19" s="13" t="s">
        <v>1</v>
      </c>
      <c r="F19" s="142">
        <f>$A$19</f>
        <v>0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43" t="str">
        <f>IF(OR(I19-H19&gt;10,I19-H19=-30),"No Peak Found",I19-H19)</f>
        <v>No Peak Found</v>
      </c>
      <c r="K19" s="144" t="s">
        <v>9</v>
      </c>
      <c r="L19" s="216" t="str">
        <f>IF(OR(COUNTIF(B19:D20, "-")+COUNTBLANK(B19:D20)=6), "Pass", IF(H19 &gt; I19, "Fail", IF(J19 &lt; 3, "Margin 부족", "Pass")))</f>
        <v>Pass</v>
      </c>
      <c r="M19" s="214" t="s">
        <v>11</v>
      </c>
    </row>
    <row r="20" spans="1:16" ht="21.95" customHeight="1" x14ac:dyDescent="0.3">
      <c r="A20" s="141"/>
      <c r="B20" s="4"/>
      <c r="C20" s="4"/>
      <c r="D20" s="4"/>
      <c r="E20" s="13" t="s">
        <v>0</v>
      </c>
      <c r="F20" s="142"/>
      <c r="G20" s="99"/>
      <c r="H20" s="101"/>
      <c r="I20" s="103"/>
      <c r="J20" s="143"/>
      <c r="K20" s="144"/>
      <c r="L20" s="217"/>
      <c r="M20" s="218"/>
    </row>
    <row r="21" spans="1:16" ht="21.95" customHeight="1" x14ac:dyDescent="0.3">
      <c r="A21" s="140">
        <f>J7*3</f>
        <v>0</v>
      </c>
      <c r="B21" s="4"/>
      <c r="C21" s="4"/>
      <c r="D21" s="4"/>
      <c r="E21" s="13" t="s">
        <v>1</v>
      </c>
      <c r="F21" s="148">
        <f>$A$21</f>
        <v>0</v>
      </c>
      <c r="G21" s="99" t="str">
        <f>IF(COUNT(B21:D21)=0, "H", IF(COUNT(B22:D22)=0, "V", IF(MAX(B21:D21) &gt;= MAX(B22:D22), "V", "H")))</f>
        <v>H</v>
      </c>
      <c r="H21" s="101">
        <f>MAX(B21:D22)</f>
        <v>0</v>
      </c>
      <c r="I21" s="149">
        <v>-30</v>
      </c>
      <c r="J21" s="143" t="str">
        <f t="shared" ref="J21" si="0">IF(OR(I21-H21&gt;10,I21-H21=-30),"No Peak Found",I21-H21)</f>
        <v>No Peak Found</v>
      </c>
      <c r="K21" s="150" t="s">
        <v>9</v>
      </c>
      <c r="L21" s="216" t="str">
        <f>IF(OR(COUNTIF(B21:D22, "-")+COUNTBLANK(B21:D22)=6), "Pass", IF(H21 &gt; I21, "Fail", IF(J21 &lt; 3, "Margin 부족", "Pass")))</f>
        <v>Pass</v>
      </c>
      <c r="M21" s="214" t="s">
        <v>11</v>
      </c>
    </row>
    <row r="22" spans="1:16" ht="21.95" customHeight="1" x14ac:dyDescent="0.3">
      <c r="A22" s="141"/>
      <c r="B22" s="4"/>
      <c r="C22" s="4"/>
      <c r="D22" s="4"/>
      <c r="E22" s="13" t="s">
        <v>0</v>
      </c>
      <c r="F22" s="148"/>
      <c r="G22" s="99"/>
      <c r="H22" s="101"/>
      <c r="I22" s="149"/>
      <c r="J22" s="143"/>
      <c r="K22" s="150"/>
      <c r="L22" s="217"/>
      <c r="M22" s="218"/>
      <c r="N22" s="8" t="s">
        <v>8</v>
      </c>
      <c r="O22" s="6"/>
      <c r="P22" s="6"/>
    </row>
    <row r="23" spans="1:16" ht="21.95" customHeight="1" x14ac:dyDescent="0.3">
      <c r="A23" s="140">
        <f>J7*4</f>
        <v>0</v>
      </c>
      <c r="B23" s="4"/>
      <c r="C23" s="4"/>
      <c r="D23" s="4"/>
      <c r="E23" s="13" t="s">
        <v>1</v>
      </c>
      <c r="F23" s="142">
        <f>$A$23</f>
        <v>0</v>
      </c>
      <c r="G23" s="99" t="str">
        <f>IF(COUNT(B23:D23)=0, "H", IF(COUNT(B24:D24)=0, "V", IF(MAX(B23:D23) &gt;= MAX(B24:D24), "V", "H")))</f>
        <v>H</v>
      </c>
      <c r="H23" s="101">
        <f>MAX(B23:D24)</f>
        <v>0</v>
      </c>
      <c r="I23" s="149">
        <v>-30</v>
      </c>
      <c r="J23" s="143" t="str">
        <f t="shared" ref="J23" si="1">IF(OR(I23-H23&gt;10,I23-H23=-30),"No Peak Found",I23-H23)</f>
        <v>No Peak Found</v>
      </c>
      <c r="K23" s="171" t="s">
        <v>9</v>
      </c>
      <c r="L23" s="216" t="str">
        <f>IF(OR(COUNTIF(B23:D24, "-")+COUNTBLANK(B23:D24)=6), "Pass", IF(H23 &gt; I23, "Fail", IF(J23 &lt; 3, "Margin 부족", "Pass")))</f>
        <v>Pass</v>
      </c>
      <c r="M23" s="214" t="s">
        <v>11</v>
      </c>
      <c r="N23" s="163" t="str">
        <f>"1. Sub6 NR Band : " &amp; VALUE(RIGHT(A7, LEN(A7)-1))</f>
        <v>1. Sub6 NR Band : 26</v>
      </c>
      <c r="O23" s="164"/>
      <c r="P23" s="164"/>
    </row>
    <row r="24" spans="1:16" ht="21.95" customHeight="1" x14ac:dyDescent="0.3">
      <c r="A24" s="141"/>
      <c r="B24" s="4"/>
      <c r="C24" s="4"/>
      <c r="D24" s="4"/>
      <c r="E24" s="13" t="s">
        <v>0</v>
      </c>
      <c r="F24" s="142"/>
      <c r="G24" s="99"/>
      <c r="H24" s="101"/>
      <c r="I24" s="149"/>
      <c r="J24" s="143"/>
      <c r="K24" s="171"/>
      <c r="L24" s="217"/>
      <c r="M24" s="218"/>
      <c r="N24" s="152" t="str">
        <f>"2. SCS : " &amp; H7 &amp; " kHz"</f>
        <v>2. SCS : 15 kHz</v>
      </c>
      <c r="O24" s="153"/>
      <c r="P24" s="153"/>
    </row>
    <row r="25" spans="1:16" ht="21.95" customHeight="1" x14ac:dyDescent="0.3">
      <c r="A25" s="140">
        <f>J7*5</f>
        <v>0</v>
      </c>
      <c r="B25" s="4"/>
      <c r="C25" s="4"/>
      <c r="D25" s="4"/>
      <c r="E25" s="13" t="s">
        <v>1</v>
      </c>
      <c r="F25" s="148">
        <f>$A$25</f>
        <v>0</v>
      </c>
      <c r="G25" s="99" t="str">
        <f>IF(COUNT(B25:D25)=0, "H", IF(COUNT(B26:D26)=0, "V", IF(MAX(B25:D25) &gt;= MAX(B26:D26), "V", "H")))</f>
        <v>H</v>
      </c>
      <c r="H25" s="101">
        <f>MAX(B25:D26)</f>
        <v>0</v>
      </c>
      <c r="I25" s="149">
        <v>-30</v>
      </c>
      <c r="J25" s="143" t="str">
        <f t="shared" ref="J25" si="2">IF(OR(I25-H25&gt;10,I25-H25=-30),"No Peak Found",I25-H25)</f>
        <v>No Peak Found</v>
      </c>
      <c r="K25" s="171" t="s">
        <v>9</v>
      </c>
      <c r="L25" s="216" t="str">
        <f>IF(OR(COUNTIF(B25:D26, "-")+COUNTBLANK(B25:D26)=6), "Pass", IF(H25 &gt; I25, "Fail", IF(J25 &lt; 3, "Margin 부족", "Pass")))</f>
        <v>Pass</v>
      </c>
      <c r="M25" s="214" t="s">
        <v>11</v>
      </c>
      <c r="N25" s="152" t="str">
        <f>"3. The test was performed the " &amp; I7 &amp; " antenna."</f>
        <v>3. The test was performed the  antenna.</v>
      </c>
      <c r="O25" s="153"/>
      <c r="P25" s="153"/>
    </row>
    <row r="26" spans="1:16" ht="21.95" customHeight="1" thickBot="1" x14ac:dyDescent="0.35">
      <c r="A26" s="165"/>
      <c r="B26" s="9"/>
      <c r="C26" s="9"/>
      <c r="D26" s="9"/>
      <c r="E26" s="14" t="s">
        <v>28</v>
      </c>
      <c r="F26" s="166"/>
      <c r="G26" s="167"/>
      <c r="H26" s="168"/>
      <c r="I26" s="169"/>
      <c r="J26" s="170"/>
      <c r="K26" s="172"/>
      <c r="L26" s="219"/>
      <c r="M26" s="215"/>
      <c r="N26" s="152" t="str">
        <f>"4. " &amp; LEFT(A9, FIND(" ", A9 &amp; " ") - 1) &amp; " Mode Test."</f>
        <v>4. NSA Mode Test.</v>
      </c>
      <c r="O26" s="154"/>
      <c r="P26" s="154"/>
    </row>
    <row r="27" spans="1:16" ht="24.95" customHeight="1" x14ac:dyDescent="0.3">
      <c r="A27" s="155" t="s">
        <v>32</v>
      </c>
      <c r="B27" s="156"/>
      <c r="C27" s="156"/>
      <c r="D27" s="156"/>
      <c r="E27" s="157"/>
      <c r="F27" s="159" t="s">
        <v>49</v>
      </c>
      <c r="G27" s="159"/>
      <c r="H27" s="159"/>
      <c r="I27" s="159"/>
      <c r="J27" s="159"/>
      <c r="K27" s="159"/>
      <c r="L27" s="159"/>
      <c r="M27" s="160"/>
    </row>
    <row r="28" spans="1:16" ht="24.95" customHeight="1" x14ac:dyDescent="0.3">
      <c r="A28" s="158"/>
      <c r="B28" s="156"/>
      <c r="C28" s="156"/>
      <c r="D28" s="156"/>
      <c r="E28" s="157"/>
      <c r="F28" s="161"/>
      <c r="G28" s="161"/>
      <c r="H28" s="161"/>
      <c r="I28" s="161"/>
      <c r="J28" s="161"/>
      <c r="K28" s="161"/>
      <c r="L28" s="161"/>
      <c r="M28" s="162"/>
    </row>
    <row r="29" spans="1:16" ht="21.95" customHeight="1" thickBot="1" x14ac:dyDescent="0.35">
      <c r="A29" s="174" t="s">
        <v>6</v>
      </c>
      <c r="B29" s="175"/>
      <c r="C29" s="175"/>
      <c r="D29" s="175"/>
      <c r="E29" s="176"/>
      <c r="F29" s="177" t="s">
        <v>6</v>
      </c>
      <c r="G29" s="177"/>
      <c r="H29" s="177"/>
      <c r="I29" s="177"/>
      <c r="J29" s="177"/>
      <c r="K29" s="177"/>
      <c r="L29" s="177"/>
      <c r="M29" s="177"/>
    </row>
    <row r="30" spans="1:16" ht="21.95" customHeight="1" thickTop="1" x14ac:dyDescent="0.3">
      <c r="A30" s="71" t="s">
        <v>43</v>
      </c>
      <c r="B30" s="73" t="s">
        <v>14</v>
      </c>
      <c r="C30" s="73" t="s">
        <v>15</v>
      </c>
      <c r="D30" s="73" t="s">
        <v>16</v>
      </c>
      <c r="E30" s="75" t="s">
        <v>17</v>
      </c>
      <c r="F30" s="71" t="s">
        <v>43</v>
      </c>
      <c r="G30" s="77" t="s">
        <v>17</v>
      </c>
      <c r="H30" s="77" t="s">
        <v>29</v>
      </c>
      <c r="I30" s="79" t="s">
        <v>41</v>
      </c>
      <c r="J30" s="81" t="s">
        <v>42</v>
      </c>
      <c r="K30" s="187" t="s">
        <v>10</v>
      </c>
      <c r="L30" s="212" t="s">
        <v>18</v>
      </c>
      <c r="M30" s="206" t="s">
        <v>8</v>
      </c>
    </row>
    <row r="31" spans="1:16" ht="21.95" customHeight="1" x14ac:dyDescent="0.3">
      <c r="A31" s="72"/>
      <c r="B31" s="74"/>
      <c r="C31" s="74"/>
      <c r="D31" s="74"/>
      <c r="E31" s="76"/>
      <c r="F31" s="72"/>
      <c r="G31" s="78"/>
      <c r="H31" s="78"/>
      <c r="I31" s="80"/>
      <c r="J31" s="82"/>
      <c r="K31" s="188"/>
      <c r="L31" s="213"/>
      <c r="M31" s="207"/>
    </row>
    <row r="32" spans="1:16" ht="21.95" customHeight="1" x14ac:dyDescent="0.3">
      <c r="A32" s="189" t="s">
        <v>26</v>
      </c>
      <c r="B32" s="10"/>
      <c r="C32" s="1"/>
      <c r="D32" s="1"/>
      <c r="E32" s="11" t="s">
        <v>27</v>
      </c>
      <c r="F32" s="191" t="str">
        <f>A32</f>
        <v>Spurious</v>
      </c>
      <c r="G32" s="193" t="str">
        <f>IF(COUNT(B32:D32)=0, "H", IF(COUNT(B33:D33)=0, "V", IF(MAX(B32:D32) &gt;= MAX(B33:D33), "V", "H")))</f>
        <v>H</v>
      </c>
      <c r="H32" s="195">
        <f>MAX(B32:D33)</f>
        <v>0</v>
      </c>
      <c r="I32" s="197">
        <v>-57</v>
      </c>
      <c r="J32" s="178" t="str">
        <f>IF(OR(I32-H32&gt;10,I32-H32=-57),"No Peak Found",I32-H32)</f>
        <v>No Peak Found</v>
      </c>
      <c r="K32" s="180" t="s">
        <v>9</v>
      </c>
      <c r="L32" s="208" t="str">
        <f>IF(OR(COUNTIF(B32:D33, "-")+COUNTBLANK(B32:D33)=6), "Pass", IF(H32 &gt; I32, "Fail", IF(J32 &lt; 3, "Margin 부족", "Pass")))</f>
        <v>Pass</v>
      </c>
      <c r="M32" s="210" t="s">
        <v>12</v>
      </c>
    </row>
    <row r="33" spans="1:13" ht="21.95" customHeight="1" thickBot="1" x14ac:dyDescent="0.35">
      <c r="A33" s="190"/>
      <c r="B33" s="2"/>
      <c r="C33" s="2"/>
      <c r="D33" s="2"/>
      <c r="E33" s="12" t="s">
        <v>28</v>
      </c>
      <c r="F33" s="192"/>
      <c r="G33" s="194"/>
      <c r="H33" s="196"/>
      <c r="I33" s="198"/>
      <c r="J33" s="179"/>
      <c r="K33" s="181"/>
      <c r="L33" s="209"/>
      <c r="M33" s="211"/>
    </row>
    <row r="34" spans="1:13" ht="21.95" customHeight="1" thickBot="1" x14ac:dyDescent="0.35">
      <c r="A34" s="184" t="s">
        <v>33</v>
      </c>
      <c r="B34" s="185"/>
      <c r="C34" s="185"/>
      <c r="D34" s="185"/>
      <c r="E34" s="186"/>
      <c r="F34" s="70" t="s">
        <v>33</v>
      </c>
      <c r="G34" s="70"/>
      <c r="H34" s="70"/>
      <c r="I34" s="70"/>
      <c r="J34" s="70"/>
      <c r="K34" s="70"/>
      <c r="L34" s="70"/>
      <c r="M34" s="70"/>
    </row>
    <row r="35" spans="1:13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212" t="s">
        <v>18</v>
      </c>
      <c r="M35" s="206" t="s">
        <v>8</v>
      </c>
    </row>
    <row r="36" spans="1:13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213"/>
      <c r="M36" s="207"/>
    </row>
    <row r="37" spans="1:13" ht="21.95" customHeight="1" x14ac:dyDescent="0.3">
      <c r="A37" s="189" t="s">
        <v>26</v>
      </c>
      <c r="B37" s="3"/>
      <c r="C37" s="3"/>
      <c r="D37" s="3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-47</v>
      </c>
      <c r="J37" s="178" t="str">
        <f>IF(OR(I37-H37&gt;10,I37-H37=-47),"No Peak Found",I37-H37)</f>
        <v>No Peak Found</v>
      </c>
      <c r="K37" s="180" t="s">
        <v>9</v>
      </c>
      <c r="L37" s="208" t="str">
        <f>IF(OR(COUNTIF(B37:D38, "-")+COUNTBLANK(B37:D38)=6), "Pass", IF(H37 &gt; I37, "Fail", IF(J37 &lt; 3, "Margin 부족", "Pass")))</f>
        <v>Pass</v>
      </c>
      <c r="M37" s="210" t="s">
        <v>12</v>
      </c>
    </row>
    <row r="38" spans="1:13" ht="21.95" customHeight="1" thickBot="1" x14ac:dyDescent="0.35">
      <c r="A38" s="190"/>
      <c r="B38" s="7"/>
      <c r="C38" s="7"/>
      <c r="D38" s="7"/>
      <c r="E38" s="12" t="s">
        <v>28</v>
      </c>
      <c r="F38" s="192"/>
      <c r="G38" s="194"/>
      <c r="H38" s="196"/>
      <c r="I38" s="198"/>
      <c r="J38" s="179"/>
      <c r="K38" s="181"/>
      <c r="L38" s="209"/>
      <c r="M38" s="211"/>
    </row>
    <row r="39" spans="1:13" ht="21.95" customHeight="1" thickBot="1" x14ac:dyDescent="0.35"/>
    <row r="40" spans="1:13" ht="21.95" customHeight="1" x14ac:dyDescent="0.3">
      <c r="A40" s="30" t="s">
        <v>67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2"/>
    </row>
    <row r="41" spans="1:13" ht="21.95" customHeight="1" thickBot="1" x14ac:dyDescent="0.35">
      <c r="A41" s="3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5"/>
    </row>
    <row r="42" spans="1:13" ht="21.95" customHeight="1" x14ac:dyDescent="0.3">
      <c r="A42" s="52" t="s">
        <v>19</v>
      </c>
      <c r="B42" s="66" t="s">
        <v>47</v>
      </c>
      <c r="C42" s="52" t="s">
        <v>22</v>
      </c>
      <c r="D42" s="52" t="s">
        <v>23</v>
      </c>
      <c r="E42" s="52" t="s">
        <v>20</v>
      </c>
      <c r="F42" s="52" t="s">
        <v>21</v>
      </c>
      <c r="G42" s="52" t="s">
        <v>24</v>
      </c>
      <c r="H42" s="54" t="s">
        <v>39</v>
      </c>
      <c r="I42" s="55" t="s">
        <v>37</v>
      </c>
      <c r="J42" s="56" t="s">
        <v>40</v>
      </c>
      <c r="K42" s="57"/>
      <c r="L42" s="57"/>
      <c r="M42" s="58"/>
    </row>
    <row r="43" spans="1:13" ht="21.95" customHeight="1" x14ac:dyDescent="0.3">
      <c r="A43" s="53"/>
      <c r="B43" s="53"/>
      <c r="C43" s="53"/>
      <c r="D43" s="53"/>
      <c r="E43" s="53"/>
      <c r="F43" s="53"/>
      <c r="G43" s="53"/>
      <c r="H43" s="52"/>
      <c r="I43" s="52"/>
      <c r="J43" s="59"/>
      <c r="K43" s="60"/>
      <c r="L43" s="60"/>
      <c r="M43" s="61"/>
    </row>
    <row r="44" spans="1:13" ht="21.95" customHeight="1" x14ac:dyDescent="0.3">
      <c r="A44" s="62" t="s">
        <v>63</v>
      </c>
      <c r="B44" s="257"/>
      <c r="C44" s="36"/>
      <c r="D44" s="36"/>
      <c r="E44" s="36"/>
      <c r="F44" s="36"/>
      <c r="G44" s="36"/>
      <c r="H44" s="37">
        <v>15</v>
      </c>
      <c r="I44" s="37"/>
      <c r="J44" s="39"/>
      <c r="K44" s="40"/>
      <c r="L44" s="40"/>
      <c r="M44" s="41"/>
    </row>
    <row r="45" spans="1:13" ht="21.95" customHeight="1" thickBot="1" x14ac:dyDescent="0.35">
      <c r="A45" s="63"/>
      <c r="B45" s="258"/>
      <c r="C45" s="37"/>
      <c r="D45" s="37"/>
      <c r="E45" s="37"/>
      <c r="F45" s="37"/>
      <c r="G45" s="37"/>
      <c r="H45" s="38"/>
      <c r="I45" s="38"/>
      <c r="J45" s="42"/>
      <c r="K45" s="43"/>
      <c r="L45" s="43"/>
      <c r="M45" s="44"/>
    </row>
    <row r="46" spans="1:13" ht="21.95" customHeight="1" x14ac:dyDescent="0.3">
      <c r="A46" s="45" t="s">
        <v>44</v>
      </c>
      <c r="B46" s="46"/>
      <c r="C46" s="46"/>
      <c r="D46" s="46"/>
      <c r="E46" s="47"/>
      <c r="F46" s="51" t="s">
        <v>50</v>
      </c>
      <c r="G46" s="46"/>
      <c r="H46" s="46"/>
      <c r="I46" s="46"/>
      <c r="J46" s="46"/>
      <c r="K46" s="46"/>
      <c r="L46" s="46"/>
      <c r="M46" s="47"/>
    </row>
    <row r="47" spans="1:13" ht="21.95" customHeight="1" x14ac:dyDescent="0.3">
      <c r="A47" s="48"/>
      <c r="B47" s="49"/>
      <c r="C47" s="49"/>
      <c r="D47" s="49"/>
      <c r="E47" s="50"/>
      <c r="F47" s="49"/>
      <c r="G47" s="49"/>
      <c r="H47" s="49"/>
      <c r="I47" s="49"/>
      <c r="J47" s="49"/>
      <c r="K47" s="49"/>
      <c r="L47" s="49"/>
      <c r="M47" s="50"/>
    </row>
    <row r="48" spans="1:13" ht="21.95" customHeight="1" thickBot="1" x14ac:dyDescent="0.35">
      <c r="A48" s="67" t="s">
        <v>7</v>
      </c>
      <c r="B48" s="68"/>
      <c r="C48" s="68"/>
      <c r="D48" s="68"/>
      <c r="E48" s="69"/>
      <c r="F48" s="68" t="s">
        <v>7</v>
      </c>
      <c r="G48" s="68"/>
      <c r="H48" s="68"/>
      <c r="I48" s="68"/>
      <c r="J48" s="70"/>
      <c r="K48" s="68"/>
      <c r="L48" s="68"/>
      <c r="M48" s="69"/>
    </row>
    <row r="49" spans="1:16" ht="21.95" customHeight="1" thickTop="1" x14ac:dyDescent="0.3">
      <c r="A49" s="71" t="s">
        <v>43</v>
      </c>
      <c r="B49" s="73" t="s">
        <v>4</v>
      </c>
      <c r="C49" s="73" t="s">
        <v>15</v>
      </c>
      <c r="D49" s="73" t="s">
        <v>3</v>
      </c>
      <c r="E49" s="75" t="s">
        <v>2</v>
      </c>
      <c r="F49" s="71" t="s">
        <v>43</v>
      </c>
      <c r="G49" s="77" t="s">
        <v>17</v>
      </c>
      <c r="H49" s="77" t="s">
        <v>29</v>
      </c>
      <c r="I49" s="79" t="s">
        <v>41</v>
      </c>
      <c r="J49" s="81" t="s">
        <v>42</v>
      </c>
      <c r="K49" s="83" t="s">
        <v>10</v>
      </c>
      <c r="L49" s="212" t="s">
        <v>18</v>
      </c>
      <c r="M49" s="206" t="s">
        <v>8</v>
      </c>
    </row>
    <row r="50" spans="1:16" ht="21.95" customHeight="1" x14ac:dyDescent="0.3">
      <c r="A50" s="72"/>
      <c r="B50" s="74"/>
      <c r="C50" s="74"/>
      <c r="D50" s="74"/>
      <c r="E50" s="76"/>
      <c r="F50" s="72"/>
      <c r="G50" s="78"/>
      <c r="H50" s="78"/>
      <c r="I50" s="80"/>
      <c r="J50" s="82"/>
      <c r="K50" s="84"/>
      <c r="L50" s="213"/>
      <c r="M50" s="207"/>
    </row>
    <row r="51" spans="1:16" ht="21.95" customHeight="1" x14ac:dyDescent="0.3">
      <c r="A51" s="95" t="s">
        <v>26</v>
      </c>
      <c r="B51" s="3"/>
      <c r="C51" s="3"/>
      <c r="D51" s="3"/>
      <c r="E51" s="11" t="s">
        <v>27</v>
      </c>
      <c r="F51" s="97" t="str">
        <f>A51</f>
        <v>Spurious</v>
      </c>
      <c r="G51" s="99" t="str">
        <f>IF(COUNT(B51:D51)=0, "H", IF(COUNT(B52:D52)=0, "V", IF(MAX(B51:D51) &gt;= MAX(B52:D52), "V", "H")))</f>
        <v>H</v>
      </c>
      <c r="H51" s="101">
        <f>MAX(B51:D52)</f>
        <v>0</v>
      </c>
      <c r="I51" s="103">
        <v>-36</v>
      </c>
      <c r="J51" s="105" t="str">
        <f>IF(OR(I51-H51&gt;10,I51-H51=-36),"No Peak Found",I51-H51)</f>
        <v>No Peak Found</v>
      </c>
      <c r="K51" s="89" t="s">
        <v>9</v>
      </c>
      <c r="L51" s="208" t="str">
        <f>IF(OR(COUNTIF(B51:D52, "-")+COUNTBLANK(B51:D52)=6), "Pass", IF(H51 &gt; I51, "Fail", IF(J51 &lt; 3, "Margin 부족", "Pass")))</f>
        <v>Pass</v>
      </c>
      <c r="M51" s="224" t="s">
        <v>12</v>
      </c>
    </row>
    <row r="52" spans="1:16" ht="21.95" customHeight="1" thickBot="1" x14ac:dyDescent="0.35">
      <c r="A52" s="96"/>
      <c r="B52" s="7"/>
      <c r="C52" s="7"/>
      <c r="D52" s="7"/>
      <c r="E52" s="12" t="s">
        <v>28</v>
      </c>
      <c r="F52" s="98"/>
      <c r="G52" s="100"/>
      <c r="H52" s="102"/>
      <c r="I52" s="104"/>
      <c r="J52" s="106"/>
      <c r="K52" s="90"/>
      <c r="L52" s="209"/>
      <c r="M52" s="225"/>
    </row>
    <row r="53" spans="1:16" ht="21.95" customHeight="1" thickBot="1" x14ac:dyDescent="0.35">
      <c r="A53" s="120" t="s">
        <v>53</v>
      </c>
      <c r="B53" s="121"/>
      <c r="C53" s="121"/>
      <c r="D53" s="121"/>
      <c r="E53" s="121"/>
      <c r="F53" s="122" t="s">
        <v>53</v>
      </c>
      <c r="G53" s="123"/>
      <c r="H53" s="123"/>
      <c r="I53" s="123"/>
      <c r="J53" s="70"/>
      <c r="K53" s="123"/>
      <c r="L53" s="124"/>
      <c r="M53" s="125"/>
      <c r="N53" s="8" t="s">
        <v>8</v>
      </c>
      <c r="O53" s="6"/>
      <c r="P53" s="6"/>
    </row>
    <row r="54" spans="1:16" ht="21.95" customHeight="1" thickTop="1" x14ac:dyDescent="0.3">
      <c r="A54" s="126" t="s">
        <v>43</v>
      </c>
      <c r="B54" s="128" t="s">
        <v>14</v>
      </c>
      <c r="C54" s="128" t="s">
        <v>15</v>
      </c>
      <c r="D54" s="128" t="s">
        <v>16</v>
      </c>
      <c r="E54" s="130" t="s">
        <v>17</v>
      </c>
      <c r="F54" s="126" t="s">
        <v>43</v>
      </c>
      <c r="G54" s="132" t="s">
        <v>17</v>
      </c>
      <c r="H54" s="132" t="s">
        <v>29</v>
      </c>
      <c r="I54" s="133" t="s">
        <v>41</v>
      </c>
      <c r="J54" s="81" t="s">
        <v>42</v>
      </c>
      <c r="K54" s="134" t="s">
        <v>10</v>
      </c>
      <c r="L54" s="220" t="s">
        <v>18</v>
      </c>
      <c r="M54" s="222" t="s">
        <v>8</v>
      </c>
      <c r="N54" s="163" t="str">
        <f>"1. Sub6 NR Band : " &amp; VALUE(RIGHT(A7, LEN(A7)-1))</f>
        <v>1. Sub6 NR Band : 26</v>
      </c>
      <c r="O54" s="164"/>
      <c r="P54" s="164"/>
    </row>
    <row r="55" spans="1:16" ht="21.95" customHeight="1" x14ac:dyDescent="0.3">
      <c r="A55" s="127"/>
      <c r="B55" s="129"/>
      <c r="C55" s="129"/>
      <c r="D55" s="129"/>
      <c r="E55" s="131"/>
      <c r="F55" s="127"/>
      <c r="G55" s="78"/>
      <c r="H55" s="78"/>
      <c r="I55" s="80"/>
      <c r="J55" s="82"/>
      <c r="K55" s="135"/>
      <c r="L55" s="221"/>
      <c r="M55" s="223"/>
      <c r="N55" s="152" t="str">
        <f>"2. SCS : " &amp; H7 &amp; " kHz"</f>
        <v>2. SCS : 15 kHz</v>
      </c>
      <c r="O55" s="153"/>
      <c r="P55" s="153"/>
    </row>
    <row r="56" spans="1:16" ht="21.95" customHeight="1" x14ac:dyDescent="0.3">
      <c r="A56" s="140">
        <f>J7*2</f>
        <v>0</v>
      </c>
      <c r="B56" s="4"/>
      <c r="C56" s="4"/>
      <c r="D56" s="4"/>
      <c r="E56" s="13" t="s">
        <v>1</v>
      </c>
      <c r="F56" s="142">
        <f>$A$19</f>
        <v>0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-30</v>
      </c>
      <c r="J56" s="143" t="str">
        <f>IF(OR(I56-H56&gt;10,I56-H56=-30),"No Peak Found",I56-H56)</f>
        <v>No Peak Found</v>
      </c>
      <c r="K56" s="144" t="s">
        <v>9</v>
      </c>
      <c r="L56" s="216" t="str">
        <f>IF(OR(COUNTIF(B56:D57, "-")+COUNTBLANK(B56:D57)=6), "Pass", IF(H56 &gt; I56, "Fail", IF(J56 &lt; 3, "Margin 부족", "Pass")))</f>
        <v>Pass</v>
      </c>
      <c r="M56" s="214" t="s">
        <v>11</v>
      </c>
      <c r="N56" s="152" t="str">
        <f>"3. The test was performed the " &amp; I7 &amp; " antenna."</f>
        <v>3. The test was performed the  antenna.</v>
      </c>
      <c r="O56" s="153"/>
      <c r="P56" s="153"/>
    </row>
    <row r="57" spans="1:16" ht="21.95" customHeight="1" x14ac:dyDescent="0.3">
      <c r="A57" s="141"/>
      <c r="B57" s="4"/>
      <c r="C57" s="4"/>
      <c r="D57" s="4"/>
      <c r="E57" s="13" t="s">
        <v>0</v>
      </c>
      <c r="F57" s="142"/>
      <c r="G57" s="99"/>
      <c r="H57" s="101"/>
      <c r="I57" s="103"/>
      <c r="J57" s="143"/>
      <c r="K57" s="144"/>
      <c r="L57" s="217"/>
      <c r="M57" s="218"/>
      <c r="N57" s="152" t="str">
        <f>"4. " &amp; LEFT(A46, FIND(" ", A46 &amp; " ") - 1) &amp; " Mode Test."</f>
        <v>4. SA Mode Test.</v>
      </c>
      <c r="O57" s="154"/>
      <c r="P57" s="154"/>
    </row>
    <row r="58" spans="1:16" ht="21.95" customHeight="1" x14ac:dyDescent="0.3">
      <c r="A58" s="140">
        <f>J7*3</f>
        <v>0</v>
      </c>
      <c r="B58" s="4"/>
      <c r="C58" s="4"/>
      <c r="D58" s="4"/>
      <c r="E58" s="13" t="s">
        <v>1</v>
      </c>
      <c r="F58" s="148">
        <f>$A$21</f>
        <v>0</v>
      </c>
      <c r="G58" s="99" t="str">
        <f>IF(COUNT(B58:D58)=0, "H", IF(COUNT(B59:D59)=0, "V", IF(MAX(B58:D58) &gt;= MAX(B59:D59), "V", "H")))</f>
        <v>H</v>
      </c>
      <c r="H58" s="101">
        <f>MAX(B58:D59)</f>
        <v>0</v>
      </c>
      <c r="I58" s="149">
        <v>-30</v>
      </c>
      <c r="J58" s="143" t="str">
        <f t="shared" ref="J58" si="3">IF(OR(I58-H58&gt;10,I58-H58=-30),"No Peak Found",I58-H58)</f>
        <v>No Peak Found</v>
      </c>
      <c r="K58" s="150" t="s">
        <v>9</v>
      </c>
      <c r="L58" s="216" t="str">
        <f>IF(OR(COUNTIF(B58:D59, "-")+COUNTBLANK(B58:D59)=6), "Pass", IF(H58 &gt; I58, "Fail", IF(J58 &lt; 3, "Margin 부족", "Pass")))</f>
        <v>Pass</v>
      </c>
      <c r="M58" s="214" t="s">
        <v>11</v>
      </c>
    </row>
    <row r="59" spans="1:16" ht="21.95" customHeight="1" x14ac:dyDescent="0.3">
      <c r="A59" s="141"/>
      <c r="B59" s="4"/>
      <c r="C59" s="4"/>
      <c r="D59" s="4"/>
      <c r="E59" s="13" t="s">
        <v>0</v>
      </c>
      <c r="F59" s="148"/>
      <c r="G59" s="99"/>
      <c r="H59" s="101"/>
      <c r="I59" s="149"/>
      <c r="J59" s="143"/>
      <c r="K59" s="150"/>
      <c r="L59" s="217"/>
      <c r="M59" s="218"/>
    </row>
    <row r="60" spans="1:16" ht="21.95" customHeight="1" x14ac:dyDescent="0.3">
      <c r="A60" s="140">
        <f>J7*4</f>
        <v>0</v>
      </c>
      <c r="B60" s="4"/>
      <c r="C60" s="4"/>
      <c r="D60" s="4"/>
      <c r="E60" s="13" t="s">
        <v>1</v>
      </c>
      <c r="F60" s="142">
        <f>$A$23</f>
        <v>0</v>
      </c>
      <c r="G60" s="99" t="str">
        <f>IF(COUNT(B60:D60)=0, "H", IF(COUNT(B61:D61)=0, "V", IF(MAX(B60:D60) &gt;= MAX(B61:D61), "V", "H")))</f>
        <v>H</v>
      </c>
      <c r="H60" s="101">
        <f>MAX(B60:D61)</f>
        <v>0</v>
      </c>
      <c r="I60" s="149">
        <v>-30</v>
      </c>
      <c r="J60" s="143" t="str">
        <f t="shared" ref="J60" si="4">IF(OR(I60-H60&gt;10,I60-H60=-30),"No Peak Found",I60-H60)</f>
        <v>No Peak Found</v>
      </c>
      <c r="K60" s="171" t="s">
        <v>9</v>
      </c>
      <c r="L60" s="216" t="str">
        <f>IF(OR(COUNTIF(B60:D61, "-")+COUNTBLANK(B60:D61)=6), "Pass", IF(H60 &gt; I60, "Fail", IF(J60 &lt; 3, "Margin 부족", "Pass")))</f>
        <v>Pass</v>
      </c>
      <c r="M60" s="214" t="s">
        <v>11</v>
      </c>
    </row>
    <row r="61" spans="1:16" ht="21.95" customHeight="1" x14ac:dyDescent="0.3">
      <c r="A61" s="141"/>
      <c r="B61" s="4"/>
      <c r="C61" s="4"/>
      <c r="D61" s="4"/>
      <c r="E61" s="13" t="s">
        <v>0</v>
      </c>
      <c r="F61" s="142"/>
      <c r="G61" s="99"/>
      <c r="H61" s="101"/>
      <c r="I61" s="149"/>
      <c r="J61" s="143"/>
      <c r="K61" s="171"/>
      <c r="L61" s="217"/>
      <c r="M61" s="218"/>
    </row>
    <row r="62" spans="1:16" ht="21.95" customHeight="1" x14ac:dyDescent="0.3">
      <c r="A62" s="140">
        <f>J7*5</f>
        <v>0</v>
      </c>
      <c r="B62" s="4"/>
      <c r="C62" s="4"/>
      <c r="D62" s="4"/>
      <c r="E62" s="13" t="s">
        <v>1</v>
      </c>
      <c r="F62" s="148">
        <f>$A$25</f>
        <v>0</v>
      </c>
      <c r="G62" s="99" t="str">
        <f>IF(COUNT(B62:D62)=0, "H", IF(COUNT(B63:D63)=0, "V", IF(MAX(B62:D62) &gt;= MAX(B63:D63), "V", "H")))</f>
        <v>H</v>
      </c>
      <c r="H62" s="101">
        <f>MAX(B62:D63)</f>
        <v>0</v>
      </c>
      <c r="I62" s="149">
        <v>-30</v>
      </c>
      <c r="J62" s="143" t="str">
        <f t="shared" ref="J62" si="5">IF(OR(I62-H62&gt;10,I62-H62=-30),"No Peak Found",I62-H62)</f>
        <v>No Peak Found</v>
      </c>
      <c r="K62" s="171" t="s">
        <v>9</v>
      </c>
      <c r="L62" s="216" t="str">
        <f>IF(OR(COUNTIF(B62:D63, "-")+COUNTBLANK(B62:D63)=6), "Pass", IF(H62 &gt; I62, "Fail", IF(J62 &lt; 3, "Margin 부족", "Pass")))</f>
        <v>Pass</v>
      </c>
      <c r="M62" s="214" t="s">
        <v>11</v>
      </c>
    </row>
    <row r="63" spans="1:16" ht="21.95" customHeight="1" thickBot="1" x14ac:dyDescent="0.35">
      <c r="A63" s="165"/>
      <c r="B63" s="9"/>
      <c r="C63" s="9"/>
      <c r="D63" s="9"/>
      <c r="E63" s="14" t="s">
        <v>28</v>
      </c>
      <c r="F63" s="166"/>
      <c r="G63" s="167"/>
      <c r="H63" s="168"/>
      <c r="I63" s="169"/>
      <c r="J63" s="170"/>
      <c r="K63" s="172"/>
      <c r="L63" s="219"/>
      <c r="M63" s="215"/>
    </row>
    <row r="64" spans="1:16" ht="21.95" customHeight="1" x14ac:dyDescent="0.3">
      <c r="A64" s="155" t="s">
        <v>45</v>
      </c>
      <c r="B64" s="156"/>
      <c r="C64" s="156"/>
      <c r="D64" s="156"/>
      <c r="E64" s="157"/>
      <c r="F64" s="159" t="s">
        <v>51</v>
      </c>
      <c r="G64" s="159"/>
      <c r="H64" s="159"/>
      <c r="I64" s="159"/>
      <c r="J64" s="159"/>
      <c r="K64" s="159"/>
      <c r="L64" s="159"/>
      <c r="M64" s="160"/>
    </row>
    <row r="65" spans="1:13" ht="21.95" customHeight="1" x14ac:dyDescent="0.3">
      <c r="A65" s="158"/>
      <c r="B65" s="156"/>
      <c r="C65" s="156"/>
      <c r="D65" s="156"/>
      <c r="E65" s="157"/>
      <c r="F65" s="161"/>
      <c r="G65" s="161"/>
      <c r="H65" s="161"/>
      <c r="I65" s="161"/>
      <c r="J65" s="161"/>
      <c r="K65" s="161"/>
      <c r="L65" s="161"/>
      <c r="M65" s="162"/>
    </row>
    <row r="66" spans="1:13" ht="21.95" customHeight="1" thickBot="1" x14ac:dyDescent="0.35">
      <c r="A66" s="174" t="s">
        <v>6</v>
      </c>
      <c r="B66" s="175"/>
      <c r="C66" s="175"/>
      <c r="D66" s="175"/>
      <c r="E66" s="176"/>
      <c r="F66" s="177" t="s">
        <v>6</v>
      </c>
      <c r="G66" s="177"/>
      <c r="H66" s="177"/>
      <c r="I66" s="177"/>
      <c r="J66" s="177"/>
      <c r="K66" s="177"/>
      <c r="L66" s="177"/>
      <c r="M66" s="177"/>
    </row>
    <row r="67" spans="1:13" ht="21.95" customHeight="1" thickTop="1" x14ac:dyDescent="0.3">
      <c r="A67" s="71" t="s">
        <v>43</v>
      </c>
      <c r="B67" s="73" t="s">
        <v>14</v>
      </c>
      <c r="C67" s="73" t="s">
        <v>15</v>
      </c>
      <c r="D67" s="73" t="s">
        <v>16</v>
      </c>
      <c r="E67" s="75" t="s">
        <v>17</v>
      </c>
      <c r="F67" s="71" t="s">
        <v>43</v>
      </c>
      <c r="G67" s="77" t="s">
        <v>17</v>
      </c>
      <c r="H67" s="77" t="s">
        <v>29</v>
      </c>
      <c r="I67" s="79" t="s">
        <v>41</v>
      </c>
      <c r="J67" s="81" t="s">
        <v>42</v>
      </c>
      <c r="K67" s="187" t="s">
        <v>10</v>
      </c>
      <c r="L67" s="212" t="s">
        <v>18</v>
      </c>
      <c r="M67" s="206" t="s">
        <v>8</v>
      </c>
    </row>
    <row r="68" spans="1:13" ht="21.95" customHeight="1" x14ac:dyDescent="0.3">
      <c r="A68" s="72"/>
      <c r="B68" s="74"/>
      <c r="C68" s="74"/>
      <c r="D68" s="74"/>
      <c r="E68" s="76"/>
      <c r="F68" s="72"/>
      <c r="G68" s="78"/>
      <c r="H68" s="78"/>
      <c r="I68" s="80"/>
      <c r="J68" s="82"/>
      <c r="K68" s="188"/>
      <c r="L68" s="213"/>
      <c r="M68" s="207"/>
    </row>
    <row r="69" spans="1:13" ht="21.95" customHeight="1" x14ac:dyDescent="0.3">
      <c r="A69" s="189" t="s">
        <v>26</v>
      </c>
      <c r="B69" s="10"/>
      <c r="C69" s="1"/>
      <c r="D69" s="1"/>
      <c r="E69" s="11" t="s">
        <v>27</v>
      </c>
      <c r="F69" s="191" t="str">
        <f>A69</f>
        <v>Spurious</v>
      </c>
      <c r="G69" s="193" t="str">
        <f>IF(COUNT(B69:D69)=0, "H", IF(COUNT(B70:D70)=0, "V", IF(MAX(B69:D69) &gt;= MAX(B70:D70), "V", "H")))</f>
        <v>H</v>
      </c>
      <c r="H69" s="195">
        <f>MAX(B69:D70)</f>
        <v>0</v>
      </c>
      <c r="I69" s="197">
        <v>-57</v>
      </c>
      <c r="J69" s="178" t="str">
        <f>IF(OR(I69-H69&gt;10,I69-H69=-57),"No Peak Found",I69-H69)</f>
        <v>No Peak Found</v>
      </c>
      <c r="K69" s="180" t="s">
        <v>9</v>
      </c>
      <c r="L69" s="208" t="str">
        <f>IF(OR(COUNTIF(B69:D70, "-")+COUNTBLANK(B69:D70)=6), "Pass", IF(H69 &gt; I69, "Fail", IF(J69 &lt; 3, "Margin 부족", "Pass")))</f>
        <v>Pass</v>
      </c>
      <c r="M69" s="210" t="s">
        <v>12</v>
      </c>
    </row>
    <row r="70" spans="1:13" ht="21.95" customHeight="1" thickBot="1" x14ac:dyDescent="0.35">
      <c r="A70" s="190"/>
      <c r="B70" s="2"/>
      <c r="C70" s="2"/>
      <c r="D70" s="2"/>
      <c r="E70" s="12" t="s">
        <v>28</v>
      </c>
      <c r="F70" s="192"/>
      <c r="G70" s="194"/>
      <c r="H70" s="196"/>
      <c r="I70" s="198"/>
      <c r="J70" s="179"/>
      <c r="K70" s="181"/>
      <c r="L70" s="209"/>
      <c r="M70" s="211"/>
    </row>
    <row r="71" spans="1:13" ht="21.95" customHeight="1" thickBot="1" x14ac:dyDescent="0.35">
      <c r="A71" s="184" t="s">
        <v>33</v>
      </c>
      <c r="B71" s="185"/>
      <c r="C71" s="185"/>
      <c r="D71" s="185"/>
      <c r="E71" s="186"/>
      <c r="F71" s="70" t="s">
        <v>33</v>
      </c>
      <c r="G71" s="70"/>
      <c r="H71" s="70"/>
      <c r="I71" s="70"/>
      <c r="J71" s="70"/>
      <c r="K71" s="70"/>
      <c r="L71" s="70"/>
      <c r="M71" s="70"/>
    </row>
    <row r="72" spans="1:13" ht="21.95" customHeight="1" thickTop="1" x14ac:dyDescent="0.3">
      <c r="A72" s="71" t="s">
        <v>43</v>
      </c>
      <c r="B72" s="73" t="s">
        <v>14</v>
      </c>
      <c r="C72" s="73" t="s">
        <v>15</v>
      </c>
      <c r="D72" s="73" t="s">
        <v>16</v>
      </c>
      <c r="E72" s="75" t="s">
        <v>17</v>
      </c>
      <c r="F72" s="71" t="s">
        <v>43</v>
      </c>
      <c r="G72" s="77" t="s">
        <v>17</v>
      </c>
      <c r="H72" s="77" t="s">
        <v>29</v>
      </c>
      <c r="I72" s="79" t="s">
        <v>41</v>
      </c>
      <c r="J72" s="81" t="s">
        <v>42</v>
      </c>
      <c r="K72" s="187" t="s">
        <v>10</v>
      </c>
      <c r="L72" s="212" t="s">
        <v>18</v>
      </c>
      <c r="M72" s="206" t="s">
        <v>8</v>
      </c>
    </row>
    <row r="73" spans="1:13" ht="21.95" customHeight="1" x14ac:dyDescent="0.3">
      <c r="A73" s="72"/>
      <c r="B73" s="74"/>
      <c r="C73" s="74"/>
      <c r="D73" s="74"/>
      <c r="E73" s="76"/>
      <c r="F73" s="72"/>
      <c r="G73" s="78"/>
      <c r="H73" s="78"/>
      <c r="I73" s="80"/>
      <c r="J73" s="82"/>
      <c r="K73" s="188"/>
      <c r="L73" s="213"/>
      <c r="M73" s="207"/>
    </row>
    <row r="74" spans="1:13" ht="21.95" customHeight="1" x14ac:dyDescent="0.3">
      <c r="A74" s="189" t="s">
        <v>26</v>
      </c>
      <c r="B74" s="10"/>
      <c r="C74" s="1"/>
      <c r="D74" s="1"/>
      <c r="E74" s="11" t="s">
        <v>27</v>
      </c>
      <c r="F74" s="191" t="str">
        <f>A74</f>
        <v>Spurious</v>
      </c>
      <c r="G74" s="193" t="str">
        <f>IF(COUNT(B74:D74)=0, "H", IF(COUNT(B75:D75)=0, "V", IF(MAX(B74:D74) &gt;= MAX(B75:D75), "V", "H")))</f>
        <v>H</v>
      </c>
      <c r="H74" s="195">
        <f>MAX(B74:D75)</f>
        <v>0</v>
      </c>
      <c r="I74" s="197">
        <v>-47</v>
      </c>
      <c r="J74" s="178" t="str">
        <f>IF(OR(I74-H74&gt;10,I74-H74=-47),"No Peak Found",I74-H74)</f>
        <v>No Peak Found</v>
      </c>
      <c r="K74" s="180" t="s">
        <v>9</v>
      </c>
      <c r="L74" s="208" t="str">
        <f>IF(OR(COUNTIF(B74:D75, "-")+COUNTBLANK(B74:D75)=6), "Pass", IF(H74 &gt; I74, "Fail", IF(J74 &lt; 3, "Margin 부족", "Pass")))</f>
        <v>Pass</v>
      </c>
      <c r="M74" s="210" t="s">
        <v>12</v>
      </c>
    </row>
    <row r="75" spans="1:13" ht="21.95" customHeight="1" thickBot="1" x14ac:dyDescent="0.35">
      <c r="A75" s="190"/>
      <c r="B75" s="2"/>
      <c r="C75" s="2"/>
      <c r="D75" s="2"/>
      <c r="E75" s="12" t="s">
        <v>28</v>
      </c>
      <c r="F75" s="192"/>
      <c r="G75" s="194"/>
      <c r="H75" s="196"/>
      <c r="I75" s="198"/>
      <c r="J75" s="179"/>
      <c r="K75" s="181"/>
      <c r="L75" s="209"/>
      <c r="M75" s="211"/>
    </row>
  </sheetData>
  <mergeCells count="309">
    <mergeCell ref="J74:J75"/>
    <mergeCell ref="K74:K75"/>
    <mergeCell ref="L74:L75"/>
    <mergeCell ref="M74:M75"/>
    <mergeCell ref="I72:I73"/>
    <mergeCell ref="J72:J73"/>
    <mergeCell ref="K72:K73"/>
    <mergeCell ref="L72:L73"/>
    <mergeCell ref="M72:M73"/>
    <mergeCell ref="A74:A75"/>
    <mergeCell ref="F74:F75"/>
    <mergeCell ref="G74:G75"/>
    <mergeCell ref="H74:H75"/>
    <mergeCell ref="I74:I75"/>
    <mergeCell ref="A71:E71"/>
    <mergeCell ref="F71:M71"/>
    <mergeCell ref="A72:A73"/>
    <mergeCell ref="B72:B73"/>
    <mergeCell ref="C72:C73"/>
    <mergeCell ref="D72:D73"/>
    <mergeCell ref="E72:E73"/>
    <mergeCell ref="F72:F73"/>
    <mergeCell ref="G72:G73"/>
    <mergeCell ref="H72:H73"/>
    <mergeCell ref="M67:M68"/>
    <mergeCell ref="A69:A70"/>
    <mergeCell ref="F69:F70"/>
    <mergeCell ref="G69:G70"/>
    <mergeCell ref="H69:H70"/>
    <mergeCell ref="I69:I70"/>
    <mergeCell ref="J69:J70"/>
    <mergeCell ref="K69:K70"/>
    <mergeCell ref="L69:L70"/>
    <mergeCell ref="M69:M70"/>
    <mergeCell ref="G67:G68"/>
    <mergeCell ref="H67:H68"/>
    <mergeCell ref="I67:I68"/>
    <mergeCell ref="J67:J68"/>
    <mergeCell ref="K67:K68"/>
    <mergeCell ref="L67:L68"/>
    <mergeCell ref="A64:E65"/>
    <mergeCell ref="F64:M65"/>
    <mergeCell ref="A66:E66"/>
    <mergeCell ref="F66:M66"/>
    <mergeCell ref="A67:A68"/>
    <mergeCell ref="B67:B68"/>
    <mergeCell ref="C67:C68"/>
    <mergeCell ref="D67:D68"/>
    <mergeCell ref="E67:E68"/>
    <mergeCell ref="F67:F68"/>
    <mergeCell ref="M60:M61"/>
    <mergeCell ref="A62:A63"/>
    <mergeCell ref="F62:F63"/>
    <mergeCell ref="G62:G63"/>
    <mergeCell ref="H62:H63"/>
    <mergeCell ref="I62:I63"/>
    <mergeCell ref="J62:J63"/>
    <mergeCell ref="K62:K63"/>
    <mergeCell ref="L62:L63"/>
    <mergeCell ref="M62:M63"/>
    <mergeCell ref="L58:L59"/>
    <mergeCell ref="M58:M59"/>
    <mergeCell ref="A60:A61"/>
    <mergeCell ref="F60:F61"/>
    <mergeCell ref="G60:G61"/>
    <mergeCell ref="H60:H61"/>
    <mergeCell ref="I60:I61"/>
    <mergeCell ref="J60:J61"/>
    <mergeCell ref="K60:K61"/>
    <mergeCell ref="L60:L61"/>
    <mergeCell ref="M56:M57"/>
    <mergeCell ref="N56:P56"/>
    <mergeCell ref="N57:P57"/>
    <mergeCell ref="A58:A59"/>
    <mergeCell ref="F58:F59"/>
    <mergeCell ref="G58:G59"/>
    <mergeCell ref="H58:H59"/>
    <mergeCell ref="I58:I59"/>
    <mergeCell ref="J58:J59"/>
    <mergeCell ref="K58:K59"/>
    <mergeCell ref="N54:P54"/>
    <mergeCell ref="N55:P55"/>
    <mergeCell ref="A56:A57"/>
    <mergeCell ref="F56:F57"/>
    <mergeCell ref="G56:G57"/>
    <mergeCell ref="H56:H57"/>
    <mergeCell ref="I56:I57"/>
    <mergeCell ref="J56:J57"/>
    <mergeCell ref="K56:K57"/>
    <mergeCell ref="L56:L57"/>
    <mergeCell ref="H54:H55"/>
    <mergeCell ref="I54:I55"/>
    <mergeCell ref="J54:J55"/>
    <mergeCell ref="K54:K55"/>
    <mergeCell ref="L54:L55"/>
    <mergeCell ref="M54:M55"/>
    <mergeCell ref="M51:M52"/>
    <mergeCell ref="A53:E53"/>
    <mergeCell ref="F53:M53"/>
    <mergeCell ref="A54:A55"/>
    <mergeCell ref="B54:B55"/>
    <mergeCell ref="C54:C55"/>
    <mergeCell ref="D54:D55"/>
    <mergeCell ref="E54:E55"/>
    <mergeCell ref="F54:F55"/>
    <mergeCell ref="G54:G55"/>
    <mergeCell ref="L49:L50"/>
    <mergeCell ref="M49:M50"/>
    <mergeCell ref="A51:A52"/>
    <mergeCell ref="F51:F52"/>
    <mergeCell ref="G51:G52"/>
    <mergeCell ref="H51:H52"/>
    <mergeCell ref="I51:I52"/>
    <mergeCell ref="J51:J52"/>
    <mergeCell ref="K51:K52"/>
    <mergeCell ref="L51:L52"/>
    <mergeCell ref="F49:F50"/>
    <mergeCell ref="G49:G50"/>
    <mergeCell ref="H49:H50"/>
    <mergeCell ref="I49:I50"/>
    <mergeCell ref="J49:J50"/>
    <mergeCell ref="K49:K50"/>
    <mergeCell ref="J44:M45"/>
    <mergeCell ref="A46:E47"/>
    <mergeCell ref="F46:M47"/>
    <mergeCell ref="A48:E48"/>
    <mergeCell ref="F48:M48"/>
    <mergeCell ref="A49:A50"/>
    <mergeCell ref="B49:B50"/>
    <mergeCell ref="C49:C50"/>
    <mergeCell ref="D49:D50"/>
    <mergeCell ref="E49:E50"/>
    <mergeCell ref="J42:M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A40:M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J32:J33"/>
    <mergeCell ref="K32:K33"/>
    <mergeCell ref="L32:L33"/>
    <mergeCell ref="M32:M33"/>
    <mergeCell ref="A34:E34"/>
    <mergeCell ref="F34:M34"/>
    <mergeCell ref="I30:I31"/>
    <mergeCell ref="J30:J31"/>
    <mergeCell ref="K30:K31"/>
    <mergeCell ref="L30:L31"/>
    <mergeCell ref="M30:M31"/>
    <mergeCell ref="A32:A33"/>
    <mergeCell ref="F32:F33"/>
    <mergeCell ref="G32:G33"/>
    <mergeCell ref="H32:H33"/>
    <mergeCell ref="I32:I33"/>
    <mergeCell ref="A29:E29"/>
    <mergeCell ref="F29:M29"/>
    <mergeCell ref="A30:A31"/>
    <mergeCell ref="B30:B31"/>
    <mergeCell ref="C30:C31"/>
    <mergeCell ref="D30:D31"/>
    <mergeCell ref="E30:E31"/>
    <mergeCell ref="F30:F31"/>
    <mergeCell ref="G30:G31"/>
    <mergeCell ref="H30:H31"/>
    <mergeCell ref="K25:K26"/>
    <mergeCell ref="L25:L26"/>
    <mergeCell ref="M25:M26"/>
    <mergeCell ref="N25:P25"/>
    <mergeCell ref="N26:P26"/>
    <mergeCell ref="A27:E28"/>
    <mergeCell ref="F27:M28"/>
    <mergeCell ref="L23:L24"/>
    <mergeCell ref="M23:M24"/>
    <mergeCell ref="N23:P23"/>
    <mergeCell ref="N24:P24"/>
    <mergeCell ref="A25:A26"/>
    <mergeCell ref="F25:F26"/>
    <mergeCell ref="G25:G26"/>
    <mergeCell ref="H25:H26"/>
    <mergeCell ref="I25:I26"/>
    <mergeCell ref="J25:J26"/>
    <mergeCell ref="K21:K22"/>
    <mergeCell ref="L21:L22"/>
    <mergeCell ref="M21:M22"/>
    <mergeCell ref="A23:A24"/>
    <mergeCell ref="F23:F24"/>
    <mergeCell ref="G23:G24"/>
    <mergeCell ref="H23:H24"/>
    <mergeCell ref="I23:I24"/>
    <mergeCell ref="J23:J24"/>
    <mergeCell ref="K23:K24"/>
    <mergeCell ref="A21:A22"/>
    <mergeCell ref="F21:F22"/>
    <mergeCell ref="G21:G22"/>
    <mergeCell ref="H21:H22"/>
    <mergeCell ref="I21:I22"/>
    <mergeCell ref="J21:J22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</mergeCells>
  <phoneticPr fontId="1" type="noConversion"/>
  <conditionalFormatting sqref="J14">
    <cfRule type="cellIs" dxfId="364" priority="44" operator="lessThan">
      <formula>10</formula>
    </cfRule>
  </conditionalFormatting>
  <conditionalFormatting sqref="J14">
    <cfRule type="cellIs" dxfId="363" priority="43" operator="equal">
      <formula>-36</formula>
    </cfRule>
  </conditionalFormatting>
  <conditionalFormatting sqref="L14">
    <cfRule type="cellIs" dxfId="362" priority="42" operator="equal">
      <formula>"Fail"</formula>
    </cfRule>
  </conditionalFormatting>
  <conditionalFormatting sqref="J19">
    <cfRule type="cellIs" dxfId="361" priority="40" operator="equal">
      <formula>-30</formula>
    </cfRule>
    <cfRule type="cellIs" dxfId="360" priority="41" operator="lessThan">
      <formula>10</formula>
    </cfRule>
  </conditionalFormatting>
  <conditionalFormatting sqref="L19">
    <cfRule type="cellIs" dxfId="359" priority="39" operator="equal">
      <formula>"Fail"</formula>
    </cfRule>
  </conditionalFormatting>
  <conditionalFormatting sqref="L21">
    <cfRule type="cellIs" dxfId="358" priority="38" operator="equal">
      <formula>"Fail"</formula>
    </cfRule>
  </conditionalFormatting>
  <conditionalFormatting sqref="L23">
    <cfRule type="cellIs" dxfId="357" priority="37" operator="equal">
      <formula>"Fail"</formula>
    </cfRule>
  </conditionalFormatting>
  <conditionalFormatting sqref="L25">
    <cfRule type="cellIs" dxfId="356" priority="36" operator="equal">
      <formula>"Fail"</formula>
    </cfRule>
  </conditionalFormatting>
  <conditionalFormatting sqref="V28">
    <cfRule type="cellIs" dxfId="355" priority="35" operator="equal">
      <formula>"Fail"</formula>
    </cfRule>
  </conditionalFormatting>
  <conditionalFormatting sqref="L14:L15 L19:L26">
    <cfRule type="cellIs" dxfId="354" priority="34" operator="equal">
      <formula>"Pass"</formula>
    </cfRule>
  </conditionalFormatting>
  <conditionalFormatting sqref="L32">
    <cfRule type="cellIs" dxfId="353" priority="33" operator="equal">
      <formula>"Fail"</formula>
    </cfRule>
  </conditionalFormatting>
  <conditionalFormatting sqref="L32:L33">
    <cfRule type="cellIs" dxfId="352" priority="32" operator="equal">
      <formula>"Pass"</formula>
    </cfRule>
  </conditionalFormatting>
  <conditionalFormatting sqref="L37">
    <cfRule type="cellIs" dxfId="351" priority="31" operator="equal">
      <formula>"Fail"</formula>
    </cfRule>
  </conditionalFormatting>
  <conditionalFormatting sqref="L37:L38">
    <cfRule type="cellIs" dxfId="350" priority="30" operator="equal">
      <formula>"Pass"</formula>
    </cfRule>
  </conditionalFormatting>
  <conditionalFormatting sqref="B14:D15">
    <cfRule type="top10" dxfId="349" priority="29" rank="1"/>
  </conditionalFormatting>
  <conditionalFormatting sqref="B19:D20">
    <cfRule type="top10" dxfId="348" priority="28" rank="1"/>
  </conditionalFormatting>
  <conditionalFormatting sqref="B21:D22">
    <cfRule type="top10" dxfId="347" priority="27" rank="1"/>
  </conditionalFormatting>
  <conditionalFormatting sqref="B23:D24">
    <cfRule type="top10" dxfId="346" priority="26" rank="1"/>
  </conditionalFormatting>
  <conditionalFormatting sqref="B25:D26">
    <cfRule type="top10" dxfId="345" priority="25" rank="1"/>
  </conditionalFormatting>
  <conditionalFormatting sqref="J21 J23 J25">
    <cfRule type="cellIs" dxfId="344" priority="23" operator="equal">
      <formula>-30</formula>
    </cfRule>
    <cfRule type="cellIs" dxfId="343" priority="24" operator="lessThan">
      <formula>10</formula>
    </cfRule>
  </conditionalFormatting>
  <conditionalFormatting sqref="J51">
    <cfRule type="cellIs" dxfId="342" priority="22" operator="lessThan">
      <formula>10</formula>
    </cfRule>
  </conditionalFormatting>
  <conditionalFormatting sqref="J51">
    <cfRule type="cellIs" dxfId="341" priority="21" operator="equal">
      <formula>-36</formula>
    </cfRule>
  </conditionalFormatting>
  <conditionalFormatting sqref="L51">
    <cfRule type="cellIs" dxfId="340" priority="20" operator="equal">
      <formula>"Fail"</formula>
    </cfRule>
  </conditionalFormatting>
  <conditionalFormatting sqref="J56">
    <cfRule type="cellIs" dxfId="339" priority="18" operator="equal">
      <formula>-30</formula>
    </cfRule>
    <cfRule type="cellIs" dxfId="338" priority="19" operator="lessThan">
      <formula>10</formula>
    </cfRule>
  </conditionalFormatting>
  <conditionalFormatting sqref="L56">
    <cfRule type="cellIs" dxfId="337" priority="17" operator="equal">
      <formula>"Fail"</formula>
    </cfRule>
  </conditionalFormatting>
  <conditionalFormatting sqref="L58">
    <cfRule type="cellIs" dxfId="336" priority="16" operator="equal">
      <formula>"Fail"</formula>
    </cfRule>
  </conditionalFormatting>
  <conditionalFormatting sqref="L60">
    <cfRule type="cellIs" dxfId="335" priority="15" operator="equal">
      <formula>"Fail"</formula>
    </cfRule>
  </conditionalFormatting>
  <conditionalFormatting sqref="L62">
    <cfRule type="cellIs" dxfId="334" priority="14" operator="equal">
      <formula>"Fail"</formula>
    </cfRule>
  </conditionalFormatting>
  <conditionalFormatting sqref="L51:L52 L56:L63">
    <cfRule type="cellIs" dxfId="333" priority="13" operator="equal">
      <formula>"Pass"</formula>
    </cfRule>
  </conditionalFormatting>
  <conditionalFormatting sqref="L69">
    <cfRule type="cellIs" dxfId="332" priority="12" operator="equal">
      <formula>"Fail"</formula>
    </cfRule>
  </conditionalFormatting>
  <conditionalFormatting sqref="L69:L70">
    <cfRule type="cellIs" dxfId="331" priority="11" operator="equal">
      <formula>"Pass"</formula>
    </cfRule>
  </conditionalFormatting>
  <conditionalFormatting sqref="L74">
    <cfRule type="cellIs" dxfId="330" priority="10" operator="equal">
      <formula>"Fail"</formula>
    </cfRule>
  </conditionalFormatting>
  <conditionalFormatting sqref="L74:L75">
    <cfRule type="cellIs" dxfId="329" priority="9" operator="equal">
      <formula>"Pass"</formula>
    </cfRule>
  </conditionalFormatting>
  <conditionalFormatting sqref="B51:D52">
    <cfRule type="top10" dxfId="328" priority="8" rank="1"/>
  </conditionalFormatting>
  <conditionalFormatting sqref="B56:D57">
    <cfRule type="top10" dxfId="327" priority="7" rank="1"/>
  </conditionalFormatting>
  <conditionalFormatting sqref="B58:D59">
    <cfRule type="top10" dxfId="326" priority="6" rank="1"/>
  </conditionalFormatting>
  <conditionalFormatting sqref="B60:D61">
    <cfRule type="top10" dxfId="325" priority="5" rank="1"/>
  </conditionalFormatting>
  <conditionalFormatting sqref="B62:D63">
    <cfRule type="top10" dxfId="324" priority="4" rank="1"/>
  </conditionalFormatting>
  <conditionalFormatting sqref="J58 J60 J62">
    <cfRule type="cellIs" dxfId="323" priority="2" operator="equal">
      <formula>-30</formula>
    </cfRule>
    <cfRule type="cellIs" dxfId="322" priority="3" operator="lessThan">
      <formula>10</formula>
    </cfRule>
  </conditionalFormatting>
  <conditionalFormatting sqref="B37:D38">
    <cfRule type="top10" dxfId="321" priority="1" rank="1"/>
  </conditionalFormatting>
  <dataValidations count="1">
    <dataValidation type="list" allowBlank="1" showInputMessage="1" showErrorMessage="1" sqref="M14 M25 M19 M21 M23 M32:M33 M51 M62 M56 M58 M60 M74:M75 M69:M70 M37:M38" xr:uid="{897B2AF2-1ED9-4D45-A7F6-E645605AF9EB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7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4201-C9A6-4B26-9A44-C8EFCA2B8E6F}">
  <dimension ref="A1:P75"/>
  <sheetViews>
    <sheetView view="pageBreakPreview" zoomScale="85" zoomScaleNormal="100" zoomScaleSheetLayoutView="85" workbookViewId="0">
      <selection activeCell="F46" sqref="F46:M47"/>
    </sheetView>
  </sheetViews>
  <sheetFormatPr defaultRowHeight="16.5" outlineLevelCol="1" x14ac:dyDescent="0.3"/>
  <cols>
    <col min="1" max="11" width="12.625" style="6" customWidth="1"/>
    <col min="12" max="13" width="12.625" hidden="1" customWidth="1" outlineLevel="1"/>
    <col min="14" max="14" width="12.625" customWidth="1" collapsed="1"/>
    <col min="15" max="22" width="12.625" customWidth="1"/>
  </cols>
  <sheetData>
    <row r="1" spans="1:13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3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46</v>
      </c>
      <c r="H2" s="28"/>
      <c r="I2" s="28"/>
      <c r="J2" s="28"/>
      <c r="K2" s="28"/>
      <c r="L2" s="28"/>
      <c r="M2" s="29"/>
    </row>
    <row r="3" spans="1:13" ht="24.95" customHeight="1" x14ac:dyDescent="0.3">
      <c r="A3" s="30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3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3" ht="20.100000000000001" customHeight="1" x14ac:dyDescent="0.3">
      <c r="A7" s="62" t="s">
        <v>61</v>
      </c>
      <c r="B7" s="36"/>
      <c r="C7" s="36"/>
      <c r="D7" s="36"/>
      <c r="E7" s="36"/>
      <c r="F7" s="36"/>
      <c r="G7" s="36"/>
      <c r="H7" s="37">
        <v>15</v>
      </c>
      <c r="I7" s="37"/>
      <c r="J7" s="39"/>
      <c r="K7" s="40"/>
      <c r="L7" s="40"/>
      <c r="M7" s="41"/>
    </row>
    <row r="8" spans="1:13" ht="20.100000000000001" customHeight="1" thickBot="1" x14ac:dyDescent="0.35">
      <c r="A8" s="63"/>
      <c r="B8" s="37"/>
      <c r="C8" s="37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3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3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</row>
    <row r="11" spans="1:13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3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212" t="s">
        <v>18</v>
      </c>
      <c r="M12" s="206" t="s">
        <v>8</v>
      </c>
    </row>
    <row r="13" spans="1:13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213"/>
      <c r="M13" s="207"/>
    </row>
    <row r="14" spans="1:13" ht="21.95" customHeight="1" x14ac:dyDescent="0.3">
      <c r="A14" s="95" t="s">
        <v>26</v>
      </c>
      <c r="B14" s="3"/>
      <c r="C14" s="3"/>
      <c r="D14" s="3"/>
      <c r="E14" s="11" t="s">
        <v>27</v>
      </c>
      <c r="F14" s="226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208" t="str">
        <f>IF(OR(COUNTIF(B14:D15, "-")+COUNTBLANK(B14:D15)=6), "Pass", IF(H14 &gt; I14, "Fail", IF(J14 &lt; 3, "Margin 부족", "Pass")))</f>
        <v>Pass</v>
      </c>
      <c r="M14" s="224" t="s">
        <v>12</v>
      </c>
    </row>
    <row r="15" spans="1:13" ht="21.95" customHeight="1" thickBot="1" x14ac:dyDescent="0.35">
      <c r="A15" s="96"/>
      <c r="B15" s="7"/>
      <c r="C15" s="7"/>
      <c r="D15" s="7"/>
      <c r="E15" s="12" t="s">
        <v>28</v>
      </c>
      <c r="F15" s="227"/>
      <c r="G15" s="100"/>
      <c r="H15" s="102"/>
      <c r="I15" s="104"/>
      <c r="J15" s="106"/>
      <c r="K15" s="90"/>
      <c r="L15" s="209"/>
      <c r="M15" s="225"/>
    </row>
    <row r="16" spans="1:13" ht="21.95" customHeight="1" thickBot="1" x14ac:dyDescent="0.35">
      <c r="A16" s="120" t="s">
        <v>53</v>
      </c>
      <c r="B16" s="121"/>
      <c r="C16" s="121"/>
      <c r="D16" s="121"/>
      <c r="E16" s="121"/>
      <c r="F16" s="122" t="s">
        <v>53</v>
      </c>
      <c r="G16" s="123"/>
      <c r="H16" s="123"/>
      <c r="I16" s="123"/>
      <c r="J16" s="70"/>
      <c r="K16" s="123"/>
      <c r="L16" s="124"/>
      <c r="M16" s="125"/>
    </row>
    <row r="17" spans="1:16" ht="21.95" customHeight="1" thickTop="1" x14ac:dyDescent="0.3">
      <c r="A17" s="126" t="s">
        <v>43</v>
      </c>
      <c r="B17" s="128" t="s">
        <v>14</v>
      </c>
      <c r="C17" s="128" t="s">
        <v>15</v>
      </c>
      <c r="D17" s="128" t="s">
        <v>16</v>
      </c>
      <c r="E17" s="130" t="s">
        <v>17</v>
      </c>
      <c r="F17" s="126" t="s">
        <v>43</v>
      </c>
      <c r="G17" s="132" t="s">
        <v>17</v>
      </c>
      <c r="H17" s="132" t="s">
        <v>29</v>
      </c>
      <c r="I17" s="133" t="s">
        <v>41</v>
      </c>
      <c r="J17" s="81" t="s">
        <v>42</v>
      </c>
      <c r="K17" s="134" t="s">
        <v>10</v>
      </c>
      <c r="L17" s="220" t="s">
        <v>18</v>
      </c>
      <c r="M17" s="222" t="s">
        <v>8</v>
      </c>
    </row>
    <row r="18" spans="1:16" ht="21.75" customHeight="1" x14ac:dyDescent="0.3">
      <c r="A18" s="127"/>
      <c r="B18" s="129"/>
      <c r="C18" s="129"/>
      <c r="D18" s="129"/>
      <c r="E18" s="131"/>
      <c r="F18" s="127"/>
      <c r="G18" s="78"/>
      <c r="H18" s="78"/>
      <c r="I18" s="80"/>
      <c r="J18" s="82"/>
      <c r="K18" s="135"/>
      <c r="L18" s="221"/>
      <c r="M18" s="223"/>
    </row>
    <row r="19" spans="1:16" ht="21.95" customHeight="1" x14ac:dyDescent="0.3">
      <c r="A19" s="140">
        <f>J7*2</f>
        <v>0</v>
      </c>
      <c r="B19" s="4"/>
      <c r="C19" s="4"/>
      <c r="D19" s="4"/>
      <c r="E19" s="13" t="s">
        <v>1</v>
      </c>
      <c r="F19" s="142">
        <f>$A$19</f>
        <v>0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43" t="str">
        <f>IF(OR(I19-H19&gt;10,I19-H19=-30),"No Peak Found",I19-H19)</f>
        <v>No Peak Found</v>
      </c>
      <c r="K19" s="144" t="s">
        <v>9</v>
      </c>
      <c r="L19" s="216" t="str">
        <f>IF(OR(COUNTIF(B19:D20, "-")+COUNTBLANK(B19:D20)=6), "Pass", IF(H19 &gt; I19, "Fail", IF(J19 &lt; 3, "Margin 부족", "Pass")))</f>
        <v>Pass</v>
      </c>
      <c r="M19" s="214" t="s">
        <v>11</v>
      </c>
    </row>
    <row r="20" spans="1:16" ht="21.95" customHeight="1" x14ac:dyDescent="0.3">
      <c r="A20" s="141"/>
      <c r="B20" s="4"/>
      <c r="C20" s="4"/>
      <c r="D20" s="4"/>
      <c r="E20" s="13" t="s">
        <v>0</v>
      </c>
      <c r="F20" s="142"/>
      <c r="G20" s="99"/>
      <c r="H20" s="101"/>
      <c r="I20" s="103"/>
      <c r="J20" s="143"/>
      <c r="K20" s="144"/>
      <c r="L20" s="217"/>
      <c r="M20" s="218"/>
    </row>
    <row r="21" spans="1:16" ht="21.95" customHeight="1" x14ac:dyDescent="0.3">
      <c r="A21" s="140">
        <f>J7*3</f>
        <v>0</v>
      </c>
      <c r="B21" s="4"/>
      <c r="C21" s="4"/>
      <c r="D21" s="4"/>
      <c r="E21" s="13" t="s">
        <v>1</v>
      </c>
      <c r="F21" s="148">
        <f>$A$21</f>
        <v>0</v>
      </c>
      <c r="G21" s="99" t="str">
        <f>IF(COUNT(B21:D21)=0, "H", IF(COUNT(B22:D22)=0, "V", IF(MAX(B21:D21) &gt;= MAX(B22:D22), "V", "H")))</f>
        <v>H</v>
      </c>
      <c r="H21" s="101">
        <f>MAX(B21:D22)</f>
        <v>0</v>
      </c>
      <c r="I21" s="149">
        <v>-30</v>
      </c>
      <c r="J21" s="143" t="str">
        <f t="shared" ref="J21" si="0">IF(OR(I21-H21&gt;10,I21-H21=-30),"No Peak Found",I21-H21)</f>
        <v>No Peak Found</v>
      </c>
      <c r="K21" s="150" t="s">
        <v>9</v>
      </c>
      <c r="L21" s="216" t="str">
        <f>IF(OR(COUNTIF(B21:D22, "-")+COUNTBLANK(B21:D22)=6), "Pass", IF(H21 &gt; I21, "Fail", IF(J21 &lt; 3, "Margin 부족", "Pass")))</f>
        <v>Pass</v>
      </c>
      <c r="M21" s="214" t="s">
        <v>11</v>
      </c>
    </row>
    <row r="22" spans="1:16" ht="21.95" customHeight="1" x14ac:dyDescent="0.3">
      <c r="A22" s="141"/>
      <c r="B22" s="4"/>
      <c r="C22" s="4"/>
      <c r="D22" s="4"/>
      <c r="E22" s="13" t="s">
        <v>0</v>
      </c>
      <c r="F22" s="148"/>
      <c r="G22" s="99"/>
      <c r="H22" s="101"/>
      <c r="I22" s="149"/>
      <c r="J22" s="143"/>
      <c r="K22" s="150"/>
      <c r="L22" s="217"/>
      <c r="M22" s="218"/>
      <c r="N22" s="8" t="s">
        <v>8</v>
      </c>
      <c r="O22" s="6"/>
      <c r="P22" s="6"/>
    </row>
    <row r="23" spans="1:16" ht="21.95" customHeight="1" x14ac:dyDescent="0.3">
      <c r="A23" s="140">
        <f>J7*4</f>
        <v>0</v>
      </c>
      <c r="B23" s="4"/>
      <c r="C23" s="4"/>
      <c r="D23" s="4"/>
      <c r="E23" s="13" t="s">
        <v>1</v>
      </c>
      <c r="F23" s="142">
        <f>$A$23</f>
        <v>0</v>
      </c>
      <c r="G23" s="99" t="str">
        <f>IF(COUNT(B23:D23)=0, "H", IF(COUNT(B24:D24)=0, "V", IF(MAX(B23:D23) &gt;= MAX(B24:D24), "V", "H")))</f>
        <v>H</v>
      </c>
      <c r="H23" s="101">
        <f>MAX(B23:D24)</f>
        <v>0</v>
      </c>
      <c r="I23" s="149">
        <v>-30</v>
      </c>
      <c r="J23" s="143" t="str">
        <f t="shared" ref="J23" si="1">IF(OR(I23-H23&gt;10,I23-H23=-30),"No Peak Found",I23-H23)</f>
        <v>No Peak Found</v>
      </c>
      <c r="K23" s="171" t="s">
        <v>9</v>
      </c>
      <c r="L23" s="216" t="str">
        <f>IF(OR(COUNTIF(B23:D24, "-")+COUNTBLANK(B23:D24)=6), "Pass", IF(H23 &gt; I23, "Fail", IF(J23 &lt; 3, "Margin 부족", "Pass")))</f>
        <v>Pass</v>
      </c>
      <c r="M23" s="214" t="s">
        <v>11</v>
      </c>
      <c r="N23" s="163" t="str">
        <f>"1. Sub6 NR Band : " &amp; VALUE(RIGHT(A7, LEN(A7)-1))</f>
        <v>1. Sub6 NR Band : 28</v>
      </c>
      <c r="O23" s="164"/>
      <c r="P23" s="164"/>
    </row>
    <row r="24" spans="1:16" ht="21.95" customHeight="1" x14ac:dyDescent="0.3">
      <c r="A24" s="141"/>
      <c r="B24" s="4"/>
      <c r="C24" s="4"/>
      <c r="D24" s="4"/>
      <c r="E24" s="13" t="s">
        <v>0</v>
      </c>
      <c r="F24" s="142"/>
      <c r="G24" s="99"/>
      <c r="H24" s="101"/>
      <c r="I24" s="149"/>
      <c r="J24" s="143"/>
      <c r="K24" s="171"/>
      <c r="L24" s="217"/>
      <c r="M24" s="218"/>
      <c r="N24" s="152" t="str">
        <f>"2. SCS : " &amp; H7 &amp; " kHz"</f>
        <v>2. SCS : 15 kHz</v>
      </c>
      <c r="O24" s="153"/>
      <c r="P24" s="153"/>
    </row>
    <row r="25" spans="1:16" ht="21.95" customHeight="1" x14ac:dyDescent="0.3">
      <c r="A25" s="140">
        <f>J7*5</f>
        <v>0</v>
      </c>
      <c r="B25" s="4"/>
      <c r="C25" s="4"/>
      <c r="D25" s="4"/>
      <c r="E25" s="13" t="s">
        <v>1</v>
      </c>
      <c r="F25" s="148">
        <f>$A$25</f>
        <v>0</v>
      </c>
      <c r="G25" s="99" t="str">
        <f>IF(COUNT(B25:D25)=0, "H", IF(COUNT(B26:D26)=0, "V", IF(MAX(B25:D25) &gt;= MAX(B26:D26), "V", "H")))</f>
        <v>H</v>
      </c>
      <c r="H25" s="101">
        <f>MAX(B25:D26)</f>
        <v>0</v>
      </c>
      <c r="I25" s="149">
        <v>-30</v>
      </c>
      <c r="J25" s="143" t="str">
        <f t="shared" ref="J25" si="2">IF(OR(I25-H25&gt;10,I25-H25=-30),"No Peak Found",I25-H25)</f>
        <v>No Peak Found</v>
      </c>
      <c r="K25" s="171" t="s">
        <v>9</v>
      </c>
      <c r="L25" s="216" t="str">
        <f>IF(OR(COUNTIF(B25:D26, "-")+COUNTBLANK(B25:D26)=6), "Pass", IF(H25 &gt; I25, "Fail", IF(J25 &lt; 3, "Margin 부족", "Pass")))</f>
        <v>Pass</v>
      </c>
      <c r="M25" s="214" t="s">
        <v>11</v>
      </c>
      <c r="N25" s="152" t="str">
        <f>"3. The test was performed the " &amp; I7 &amp; " antenna."</f>
        <v>3. The test was performed the  antenna.</v>
      </c>
      <c r="O25" s="153"/>
      <c r="P25" s="153"/>
    </row>
    <row r="26" spans="1:16" ht="21.95" customHeight="1" thickBot="1" x14ac:dyDescent="0.35">
      <c r="A26" s="165"/>
      <c r="B26" s="9"/>
      <c r="C26" s="9"/>
      <c r="D26" s="9"/>
      <c r="E26" s="14" t="s">
        <v>28</v>
      </c>
      <c r="F26" s="166"/>
      <c r="G26" s="167"/>
      <c r="H26" s="168"/>
      <c r="I26" s="169"/>
      <c r="J26" s="170"/>
      <c r="K26" s="172"/>
      <c r="L26" s="219"/>
      <c r="M26" s="215"/>
      <c r="N26" s="152" t="str">
        <f>"4. " &amp; LEFT(A9, FIND(" ", A9 &amp; " ") - 1) &amp; " Mode Test."</f>
        <v>4. NSA Mode Test.</v>
      </c>
      <c r="O26" s="154"/>
      <c r="P26" s="154"/>
    </row>
    <row r="27" spans="1:16" ht="24.95" customHeight="1" x14ac:dyDescent="0.3">
      <c r="A27" s="155" t="s">
        <v>32</v>
      </c>
      <c r="B27" s="156"/>
      <c r="C27" s="156"/>
      <c r="D27" s="156"/>
      <c r="E27" s="157"/>
      <c r="F27" s="159" t="s">
        <v>49</v>
      </c>
      <c r="G27" s="159"/>
      <c r="H27" s="159"/>
      <c r="I27" s="159"/>
      <c r="J27" s="159"/>
      <c r="K27" s="159"/>
      <c r="L27" s="159"/>
      <c r="M27" s="160"/>
    </row>
    <row r="28" spans="1:16" ht="24.95" customHeight="1" x14ac:dyDescent="0.3">
      <c r="A28" s="158"/>
      <c r="B28" s="156"/>
      <c r="C28" s="156"/>
      <c r="D28" s="156"/>
      <c r="E28" s="157"/>
      <c r="F28" s="161"/>
      <c r="G28" s="161"/>
      <c r="H28" s="161"/>
      <c r="I28" s="161"/>
      <c r="J28" s="161"/>
      <c r="K28" s="161"/>
      <c r="L28" s="161"/>
      <c r="M28" s="162"/>
    </row>
    <row r="29" spans="1:16" ht="21.95" customHeight="1" thickBot="1" x14ac:dyDescent="0.35">
      <c r="A29" s="174" t="s">
        <v>6</v>
      </c>
      <c r="B29" s="175"/>
      <c r="C29" s="175"/>
      <c r="D29" s="175"/>
      <c r="E29" s="176"/>
      <c r="F29" s="177" t="s">
        <v>6</v>
      </c>
      <c r="G29" s="177"/>
      <c r="H29" s="177"/>
      <c r="I29" s="177"/>
      <c r="J29" s="177"/>
      <c r="K29" s="177"/>
      <c r="L29" s="177"/>
      <c r="M29" s="177"/>
    </row>
    <row r="30" spans="1:16" ht="21.95" customHeight="1" thickTop="1" x14ac:dyDescent="0.3">
      <c r="A30" s="71" t="s">
        <v>43</v>
      </c>
      <c r="B30" s="73" t="s">
        <v>14</v>
      </c>
      <c r="C30" s="73" t="s">
        <v>15</v>
      </c>
      <c r="D30" s="73" t="s">
        <v>16</v>
      </c>
      <c r="E30" s="75" t="s">
        <v>17</v>
      </c>
      <c r="F30" s="71" t="s">
        <v>43</v>
      </c>
      <c r="G30" s="77" t="s">
        <v>17</v>
      </c>
      <c r="H30" s="77" t="s">
        <v>29</v>
      </c>
      <c r="I30" s="79" t="s">
        <v>41</v>
      </c>
      <c r="J30" s="81" t="s">
        <v>42</v>
      </c>
      <c r="K30" s="187" t="s">
        <v>10</v>
      </c>
      <c r="L30" s="212" t="s">
        <v>18</v>
      </c>
      <c r="M30" s="206" t="s">
        <v>8</v>
      </c>
    </row>
    <row r="31" spans="1:16" ht="21.95" customHeight="1" x14ac:dyDescent="0.3">
      <c r="A31" s="72"/>
      <c r="B31" s="74"/>
      <c r="C31" s="74"/>
      <c r="D31" s="74"/>
      <c r="E31" s="76"/>
      <c r="F31" s="72"/>
      <c r="G31" s="78"/>
      <c r="H31" s="78"/>
      <c r="I31" s="80"/>
      <c r="J31" s="82"/>
      <c r="K31" s="188"/>
      <c r="L31" s="213"/>
      <c r="M31" s="207"/>
    </row>
    <row r="32" spans="1:16" ht="21.95" customHeight="1" x14ac:dyDescent="0.3">
      <c r="A32" s="189" t="s">
        <v>26</v>
      </c>
      <c r="B32" s="10"/>
      <c r="C32" s="1"/>
      <c r="D32" s="1"/>
      <c r="E32" s="11" t="s">
        <v>27</v>
      </c>
      <c r="F32" s="191" t="str">
        <f>A32</f>
        <v>Spurious</v>
      </c>
      <c r="G32" s="193" t="str">
        <f>IF(COUNT(B32:D32)=0, "H", IF(COUNT(B33:D33)=0, "V", IF(MAX(B32:D32) &gt;= MAX(B33:D33), "V", "H")))</f>
        <v>H</v>
      </c>
      <c r="H32" s="195">
        <f>MAX(B32:D33)</f>
        <v>0</v>
      </c>
      <c r="I32" s="197">
        <v>-57</v>
      </c>
      <c r="J32" s="178" t="str">
        <f>IF(OR(I32-H32&gt;10,I32-H32=-57),"No Peak Found",I32-H32)</f>
        <v>No Peak Found</v>
      </c>
      <c r="K32" s="180" t="s">
        <v>9</v>
      </c>
      <c r="L32" s="208" t="str">
        <f>IF(OR(COUNTIF(B32:D33, "-")+COUNTBLANK(B32:D33)=6), "Pass", IF(H32 &gt; I32, "Fail", IF(J32 &lt; 3, "Margin 부족", "Pass")))</f>
        <v>Pass</v>
      </c>
      <c r="M32" s="210" t="s">
        <v>12</v>
      </c>
    </row>
    <row r="33" spans="1:13" ht="21.95" customHeight="1" thickBot="1" x14ac:dyDescent="0.35">
      <c r="A33" s="190"/>
      <c r="B33" s="2"/>
      <c r="C33" s="2"/>
      <c r="D33" s="2"/>
      <c r="E33" s="12" t="s">
        <v>28</v>
      </c>
      <c r="F33" s="192"/>
      <c r="G33" s="194"/>
      <c r="H33" s="196"/>
      <c r="I33" s="198"/>
      <c r="J33" s="179"/>
      <c r="K33" s="181"/>
      <c r="L33" s="209"/>
      <c r="M33" s="211"/>
    </row>
    <row r="34" spans="1:13" ht="21.95" customHeight="1" thickBot="1" x14ac:dyDescent="0.35">
      <c r="A34" s="184" t="s">
        <v>33</v>
      </c>
      <c r="B34" s="185"/>
      <c r="C34" s="185"/>
      <c r="D34" s="185"/>
      <c r="E34" s="186"/>
      <c r="F34" s="70" t="s">
        <v>33</v>
      </c>
      <c r="G34" s="70"/>
      <c r="H34" s="70"/>
      <c r="I34" s="70"/>
      <c r="J34" s="70"/>
      <c r="K34" s="70"/>
      <c r="L34" s="70"/>
      <c r="M34" s="70"/>
    </row>
    <row r="35" spans="1:13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212" t="s">
        <v>18</v>
      </c>
      <c r="M35" s="206" t="s">
        <v>8</v>
      </c>
    </row>
    <row r="36" spans="1:13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213"/>
      <c r="M36" s="207"/>
    </row>
    <row r="37" spans="1:13" ht="21.95" customHeight="1" x14ac:dyDescent="0.3">
      <c r="A37" s="189" t="s">
        <v>26</v>
      </c>
      <c r="B37" s="3"/>
      <c r="C37" s="3"/>
      <c r="D37" s="3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-47</v>
      </c>
      <c r="J37" s="178" t="str">
        <f>IF(OR(I37-H37&gt;10,I37-H37=-47),"No Peak Found",I37-H37)</f>
        <v>No Peak Found</v>
      </c>
      <c r="K37" s="180" t="s">
        <v>9</v>
      </c>
      <c r="L37" s="208" t="str">
        <f>IF(OR(COUNTIF(B37:D38, "-")+COUNTBLANK(B37:D38)=6), "Pass", IF(H37 &gt; I37, "Fail", IF(J37 &lt; 3, "Margin 부족", "Pass")))</f>
        <v>Pass</v>
      </c>
      <c r="M37" s="210" t="s">
        <v>12</v>
      </c>
    </row>
    <row r="38" spans="1:13" ht="21.95" customHeight="1" thickBot="1" x14ac:dyDescent="0.35">
      <c r="A38" s="190"/>
      <c r="B38" s="7"/>
      <c r="C38" s="7"/>
      <c r="D38" s="7"/>
      <c r="E38" s="12" t="s">
        <v>28</v>
      </c>
      <c r="F38" s="192"/>
      <c r="G38" s="194"/>
      <c r="H38" s="196"/>
      <c r="I38" s="198"/>
      <c r="J38" s="179"/>
      <c r="K38" s="181"/>
      <c r="L38" s="209"/>
      <c r="M38" s="211"/>
    </row>
    <row r="39" spans="1:13" ht="21.95" customHeight="1" thickBot="1" x14ac:dyDescent="0.35"/>
    <row r="40" spans="1:13" ht="21.95" customHeight="1" x14ac:dyDescent="0.3">
      <c r="A40" s="30" t="s">
        <v>67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2"/>
    </row>
    <row r="41" spans="1:13" ht="21.95" customHeight="1" thickBot="1" x14ac:dyDescent="0.35">
      <c r="A41" s="3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5"/>
    </row>
    <row r="42" spans="1:13" ht="21.95" customHeight="1" x14ac:dyDescent="0.3">
      <c r="A42" s="52" t="s">
        <v>19</v>
      </c>
      <c r="B42" s="66" t="s">
        <v>47</v>
      </c>
      <c r="C42" s="52" t="s">
        <v>22</v>
      </c>
      <c r="D42" s="52" t="s">
        <v>23</v>
      </c>
      <c r="E42" s="52" t="s">
        <v>20</v>
      </c>
      <c r="F42" s="52" t="s">
        <v>21</v>
      </c>
      <c r="G42" s="52" t="s">
        <v>24</v>
      </c>
      <c r="H42" s="54" t="s">
        <v>39</v>
      </c>
      <c r="I42" s="55" t="s">
        <v>37</v>
      </c>
      <c r="J42" s="56" t="s">
        <v>40</v>
      </c>
      <c r="K42" s="57"/>
      <c r="L42" s="57"/>
      <c r="M42" s="58"/>
    </row>
    <row r="43" spans="1:13" ht="21.95" customHeight="1" x14ac:dyDescent="0.3">
      <c r="A43" s="53"/>
      <c r="B43" s="53"/>
      <c r="C43" s="53"/>
      <c r="D43" s="53"/>
      <c r="E43" s="53"/>
      <c r="F43" s="53"/>
      <c r="G43" s="53"/>
      <c r="H43" s="52"/>
      <c r="I43" s="52"/>
      <c r="J43" s="59"/>
      <c r="K43" s="60"/>
      <c r="L43" s="60"/>
      <c r="M43" s="61"/>
    </row>
    <row r="44" spans="1:13" ht="21.95" customHeight="1" x14ac:dyDescent="0.3">
      <c r="A44" s="62" t="s">
        <v>61</v>
      </c>
      <c r="B44" s="257"/>
      <c r="C44" s="36"/>
      <c r="D44" s="36"/>
      <c r="E44" s="36"/>
      <c r="F44" s="36"/>
      <c r="G44" s="36"/>
      <c r="H44" s="37">
        <v>15</v>
      </c>
      <c r="I44" s="37"/>
      <c r="J44" s="39"/>
      <c r="K44" s="40"/>
      <c r="L44" s="40"/>
      <c r="M44" s="41"/>
    </row>
    <row r="45" spans="1:13" ht="21.95" customHeight="1" thickBot="1" x14ac:dyDescent="0.35">
      <c r="A45" s="63"/>
      <c r="B45" s="258"/>
      <c r="C45" s="37"/>
      <c r="D45" s="37"/>
      <c r="E45" s="37"/>
      <c r="F45" s="37"/>
      <c r="G45" s="37"/>
      <c r="H45" s="38"/>
      <c r="I45" s="38"/>
      <c r="J45" s="42"/>
      <c r="K45" s="43"/>
      <c r="L45" s="43"/>
      <c r="M45" s="44"/>
    </row>
    <row r="46" spans="1:13" ht="21.95" customHeight="1" x14ac:dyDescent="0.3">
      <c r="A46" s="45" t="s">
        <v>44</v>
      </c>
      <c r="B46" s="46"/>
      <c r="C46" s="46"/>
      <c r="D46" s="46"/>
      <c r="E46" s="47"/>
      <c r="F46" s="51" t="s">
        <v>50</v>
      </c>
      <c r="G46" s="46"/>
      <c r="H46" s="46"/>
      <c r="I46" s="46"/>
      <c r="J46" s="46"/>
      <c r="K46" s="46"/>
      <c r="L46" s="46"/>
      <c r="M46" s="47"/>
    </row>
    <row r="47" spans="1:13" ht="21.95" customHeight="1" x14ac:dyDescent="0.3">
      <c r="A47" s="48"/>
      <c r="B47" s="49"/>
      <c r="C47" s="49"/>
      <c r="D47" s="49"/>
      <c r="E47" s="50"/>
      <c r="F47" s="49"/>
      <c r="G47" s="49"/>
      <c r="H47" s="49"/>
      <c r="I47" s="49"/>
      <c r="J47" s="49"/>
      <c r="K47" s="49"/>
      <c r="L47" s="49"/>
      <c r="M47" s="50"/>
    </row>
    <row r="48" spans="1:13" ht="21.95" customHeight="1" thickBot="1" x14ac:dyDescent="0.35">
      <c r="A48" s="67" t="s">
        <v>7</v>
      </c>
      <c r="B48" s="68"/>
      <c r="C48" s="68"/>
      <c r="D48" s="68"/>
      <c r="E48" s="69"/>
      <c r="F48" s="68" t="s">
        <v>7</v>
      </c>
      <c r="G48" s="68"/>
      <c r="H48" s="68"/>
      <c r="I48" s="68"/>
      <c r="J48" s="70"/>
      <c r="K48" s="68"/>
      <c r="L48" s="68"/>
      <c r="M48" s="69"/>
    </row>
    <row r="49" spans="1:16" ht="21.95" customHeight="1" thickTop="1" x14ac:dyDescent="0.3">
      <c r="A49" s="71" t="s">
        <v>43</v>
      </c>
      <c r="B49" s="73" t="s">
        <v>4</v>
      </c>
      <c r="C49" s="73" t="s">
        <v>15</v>
      </c>
      <c r="D49" s="73" t="s">
        <v>3</v>
      </c>
      <c r="E49" s="75" t="s">
        <v>2</v>
      </c>
      <c r="F49" s="71" t="s">
        <v>43</v>
      </c>
      <c r="G49" s="77" t="s">
        <v>17</v>
      </c>
      <c r="H49" s="77" t="s">
        <v>29</v>
      </c>
      <c r="I49" s="79" t="s">
        <v>41</v>
      </c>
      <c r="J49" s="81" t="s">
        <v>42</v>
      </c>
      <c r="K49" s="83" t="s">
        <v>10</v>
      </c>
      <c r="L49" s="212" t="s">
        <v>18</v>
      </c>
      <c r="M49" s="206" t="s">
        <v>8</v>
      </c>
    </row>
    <row r="50" spans="1:16" ht="21.95" customHeight="1" x14ac:dyDescent="0.3">
      <c r="A50" s="72"/>
      <c r="B50" s="74"/>
      <c r="C50" s="74"/>
      <c r="D50" s="74"/>
      <c r="E50" s="76"/>
      <c r="F50" s="72"/>
      <c r="G50" s="78"/>
      <c r="H50" s="78"/>
      <c r="I50" s="80"/>
      <c r="J50" s="82"/>
      <c r="K50" s="84"/>
      <c r="L50" s="213"/>
      <c r="M50" s="207"/>
    </row>
    <row r="51" spans="1:16" ht="21.95" customHeight="1" x14ac:dyDescent="0.3">
      <c r="A51" s="95" t="s">
        <v>26</v>
      </c>
      <c r="B51" s="3"/>
      <c r="C51" s="3"/>
      <c r="D51" s="3"/>
      <c r="E51" s="11" t="s">
        <v>27</v>
      </c>
      <c r="F51" s="97" t="str">
        <f>A51</f>
        <v>Spurious</v>
      </c>
      <c r="G51" s="99" t="str">
        <f>IF(COUNT(B51:D51)=0, "H", IF(COUNT(B52:D52)=0, "V", IF(MAX(B51:D51) &gt;= MAX(B52:D52), "V", "H")))</f>
        <v>H</v>
      </c>
      <c r="H51" s="101">
        <f>MAX(B51:D52)</f>
        <v>0</v>
      </c>
      <c r="I51" s="103">
        <v>-36</v>
      </c>
      <c r="J51" s="105" t="str">
        <f>IF(OR(I51-H51&gt;10,I51-H51=-36),"No Peak Found",I51-H51)</f>
        <v>No Peak Found</v>
      </c>
      <c r="K51" s="89" t="s">
        <v>9</v>
      </c>
      <c r="L51" s="208" t="str">
        <f>IF(OR(COUNTIF(B51:D52, "-")+COUNTBLANK(B51:D52)=6), "Pass", IF(H51 &gt; I51, "Fail", IF(J51 &lt; 3, "Margin 부족", "Pass")))</f>
        <v>Pass</v>
      </c>
      <c r="M51" s="224" t="s">
        <v>12</v>
      </c>
    </row>
    <row r="52" spans="1:16" ht="21.95" customHeight="1" thickBot="1" x14ac:dyDescent="0.35">
      <c r="A52" s="96"/>
      <c r="B52" s="7"/>
      <c r="C52" s="7"/>
      <c r="D52" s="7"/>
      <c r="E52" s="12" t="s">
        <v>28</v>
      </c>
      <c r="F52" s="98"/>
      <c r="G52" s="100"/>
      <c r="H52" s="102"/>
      <c r="I52" s="104"/>
      <c r="J52" s="106"/>
      <c r="K52" s="90"/>
      <c r="L52" s="209"/>
      <c r="M52" s="225"/>
    </row>
    <row r="53" spans="1:16" ht="21.95" customHeight="1" thickBot="1" x14ac:dyDescent="0.35">
      <c r="A53" s="120" t="s">
        <v>53</v>
      </c>
      <c r="B53" s="121"/>
      <c r="C53" s="121"/>
      <c r="D53" s="121"/>
      <c r="E53" s="121"/>
      <c r="F53" s="122" t="s">
        <v>53</v>
      </c>
      <c r="G53" s="123"/>
      <c r="H53" s="123"/>
      <c r="I53" s="123"/>
      <c r="J53" s="70"/>
      <c r="K53" s="123"/>
      <c r="L53" s="124"/>
      <c r="M53" s="125"/>
      <c r="N53" s="8" t="s">
        <v>8</v>
      </c>
      <c r="O53" s="6"/>
      <c r="P53" s="6"/>
    </row>
    <row r="54" spans="1:16" ht="21.95" customHeight="1" thickTop="1" x14ac:dyDescent="0.3">
      <c r="A54" s="126" t="s">
        <v>43</v>
      </c>
      <c r="B54" s="128" t="s">
        <v>14</v>
      </c>
      <c r="C54" s="128" t="s">
        <v>15</v>
      </c>
      <c r="D54" s="128" t="s">
        <v>16</v>
      </c>
      <c r="E54" s="130" t="s">
        <v>17</v>
      </c>
      <c r="F54" s="126" t="s">
        <v>43</v>
      </c>
      <c r="G54" s="132" t="s">
        <v>17</v>
      </c>
      <c r="H54" s="132" t="s">
        <v>29</v>
      </c>
      <c r="I54" s="133" t="s">
        <v>41</v>
      </c>
      <c r="J54" s="81" t="s">
        <v>42</v>
      </c>
      <c r="K54" s="134" t="s">
        <v>10</v>
      </c>
      <c r="L54" s="220" t="s">
        <v>18</v>
      </c>
      <c r="M54" s="222" t="s">
        <v>8</v>
      </c>
      <c r="N54" s="163" t="str">
        <f>"1. Sub6 NR Band : " &amp; VALUE(RIGHT(A7, LEN(A7)-1))</f>
        <v>1. Sub6 NR Band : 28</v>
      </c>
      <c r="O54" s="164"/>
      <c r="P54" s="164"/>
    </row>
    <row r="55" spans="1:16" ht="21.95" customHeight="1" x14ac:dyDescent="0.3">
      <c r="A55" s="127"/>
      <c r="B55" s="129"/>
      <c r="C55" s="129"/>
      <c r="D55" s="129"/>
      <c r="E55" s="131"/>
      <c r="F55" s="127"/>
      <c r="G55" s="78"/>
      <c r="H55" s="78"/>
      <c r="I55" s="80"/>
      <c r="J55" s="82"/>
      <c r="K55" s="135"/>
      <c r="L55" s="221"/>
      <c r="M55" s="223"/>
      <c r="N55" s="152" t="str">
        <f>"2. SCS : " &amp; H7 &amp; " kHz"</f>
        <v>2. SCS : 15 kHz</v>
      </c>
      <c r="O55" s="153"/>
      <c r="P55" s="153"/>
    </row>
    <row r="56" spans="1:16" ht="21.95" customHeight="1" x14ac:dyDescent="0.3">
      <c r="A56" s="140">
        <f>J7*2</f>
        <v>0</v>
      </c>
      <c r="B56" s="4"/>
      <c r="C56" s="4"/>
      <c r="D56" s="4"/>
      <c r="E56" s="13" t="s">
        <v>1</v>
      </c>
      <c r="F56" s="142">
        <f>$A$19</f>
        <v>0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-30</v>
      </c>
      <c r="J56" s="143" t="str">
        <f>IF(OR(I56-H56&gt;10,I56-H56=-30),"No Peak Found",I56-H56)</f>
        <v>No Peak Found</v>
      </c>
      <c r="K56" s="144" t="s">
        <v>9</v>
      </c>
      <c r="L56" s="216" t="str">
        <f>IF(OR(COUNTIF(B56:D57, "-")+COUNTBLANK(B56:D57)=6), "Pass", IF(H56 &gt; I56, "Fail", IF(J56 &lt; 3, "Margin 부족", "Pass")))</f>
        <v>Pass</v>
      </c>
      <c r="M56" s="214" t="s">
        <v>11</v>
      </c>
      <c r="N56" s="152" t="str">
        <f>"3. The test was performed the " &amp; I7 &amp; " antenna."</f>
        <v>3. The test was performed the  antenna.</v>
      </c>
      <c r="O56" s="153"/>
      <c r="P56" s="153"/>
    </row>
    <row r="57" spans="1:16" ht="21.95" customHeight="1" x14ac:dyDescent="0.3">
      <c r="A57" s="141"/>
      <c r="B57" s="4"/>
      <c r="C57" s="4"/>
      <c r="D57" s="4"/>
      <c r="E57" s="13" t="s">
        <v>0</v>
      </c>
      <c r="F57" s="142"/>
      <c r="G57" s="99"/>
      <c r="H57" s="101"/>
      <c r="I57" s="103"/>
      <c r="J57" s="143"/>
      <c r="K57" s="144"/>
      <c r="L57" s="217"/>
      <c r="M57" s="218"/>
      <c r="N57" s="152" t="str">
        <f>"4. " &amp; LEFT(A46, FIND(" ", A46 &amp; " ") - 1) &amp; " Mode Test."</f>
        <v>4. SA Mode Test.</v>
      </c>
      <c r="O57" s="154"/>
      <c r="P57" s="154"/>
    </row>
    <row r="58" spans="1:16" ht="21.95" customHeight="1" x14ac:dyDescent="0.3">
      <c r="A58" s="140">
        <f>J7*3</f>
        <v>0</v>
      </c>
      <c r="B58" s="4"/>
      <c r="C58" s="4"/>
      <c r="D58" s="4"/>
      <c r="E58" s="13" t="s">
        <v>1</v>
      </c>
      <c r="F58" s="148">
        <f>$A$21</f>
        <v>0</v>
      </c>
      <c r="G58" s="99" t="str">
        <f>IF(COUNT(B58:D58)=0, "H", IF(COUNT(B59:D59)=0, "V", IF(MAX(B58:D58) &gt;= MAX(B59:D59), "V", "H")))</f>
        <v>H</v>
      </c>
      <c r="H58" s="101">
        <f>MAX(B58:D59)</f>
        <v>0</v>
      </c>
      <c r="I58" s="149">
        <v>-30</v>
      </c>
      <c r="J58" s="143" t="str">
        <f t="shared" ref="J58" si="3">IF(OR(I58-H58&gt;10,I58-H58=-30),"No Peak Found",I58-H58)</f>
        <v>No Peak Found</v>
      </c>
      <c r="K58" s="150" t="s">
        <v>9</v>
      </c>
      <c r="L58" s="216" t="str">
        <f>IF(OR(COUNTIF(B58:D59, "-")+COUNTBLANK(B58:D59)=6), "Pass", IF(H58 &gt; I58, "Fail", IF(J58 &lt; 3, "Margin 부족", "Pass")))</f>
        <v>Pass</v>
      </c>
      <c r="M58" s="214" t="s">
        <v>11</v>
      </c>
    </row>
    <row r="59" spans="1:16" ht="21.95" customHeight="1" x14ac:dyDescent="0.3">
      <c r="A59" s="141"/>
      <c r="B59" s="4"/>
      <c r="C59" s="4"/>
      <c r="D59" s="4"/>
      <c r="E59" s="13" t="s">
        <v>0</v>
      </c>
      <c r="F59" s="148"/>
      <c r="G59" s="99"/>
      <c r="H59" s="101"/>
      <c r="I59" s="149"/>
      <c r="J59" s="143"/>
      <c r="K59" s="150"/>
      <c r="L59" s="217"/>
      <c r="M59" s="218"/>
    </row>
    <row r="60" spans="1:16" ht="21.95" customHeight="1" x14ac:dyDescent="0.3">
      <c r="A60" s="140">
        <f>J7*4</f>
        <v>0</v>
      </c>
      <c r="B60" s="4"/>
      <c r="C60" s="4"/>
      <c r="D60" s="4"/>
      <c r="E60" s="13" t="s">
        <v>1</v>
      </c>
      <c r="F60" s="142">
        <f>$A$23</f>
        <v>0</v>
      </c>
      <c r="G60" s="99" t="str">
        <f>IF(COUNT(B60:D60)=0, "H", IF(COUNT(B61:D61)=0, "V", IF(MAX(B60:D60) &gt;= MAX(B61:D61), "V", "H")))</f>
        <v>H</v>
      </c>
      <c r="H60" s="101">
        <f>MAX(B60:D61)</f>
        <v>0</v>
      </c>
      <c r="I60" s="149">
        <v>-30</v>
      </c>
      <c r="J60" s="143" t="str">
        <f t="shared" ref="J60" si="4">IF(OR(I60-H60&gt;10,I60-H60=-30),"No Peak Found",I60-H60)</f>
        <v>No Peak Found</v>
      </c>
      <c r="K60" s="171" t="s">
        <v>9</v>
      </c>
      <c r="L60" s="216" t="str">
        <f>IF(OR(COUNTIF(B60:D61, "-")+COUNTBLANK(B60:D61)=6), "Pass", IF(H60 &gt; I60, "Fail", IF(J60 &lt; 3, "Margin 부족", "Pass")))</f>
        <v>Pass</v>
      </c>
      <c r="M60" s="214" t="s">
        <v>11</v>
      </c>
    </row>
    <row r="61" spans="1:16" ht="21.95" customHeight="1" x14ac:dyDescent="0.3">
      <c r="A61" s="141"/>
      <c r="B61" s="4"/>
      <c r="C61" s="4"/>
      <c r="D61" s="4"/>
      <c r="E61" s="13" t="s">
        <v>0</v>
      </c>
      <c r="F61" s="142"/>
      <c r="G61" s="99"/>
      <c r="H61" s="101"/>
      <c r="I61" s="149"/>
      <c r="J61" s="143"/>
      <c r="K61" s="171"/>
      <c r="L61" s="217"/>
      <c r="M61" s="218"/>
    </row>
    <row r="62" spans="1:16" ht="21.95" customHeight="1" x14ac:dyDescent="0.3">
      <c r="A62" s="140">
        <f>J7*5</f>
        <v>0</v>
      </c>
      <c r="B62" s="4"/>
      <c r="C62" s="4"/>
      <c r="D62" s="4"/>
      <c r="E62" s="13" t="s">
        <v>1</v>
      </c>
      <c r="F62" s="148">
        <f>$A$25</f>
        <v>0</v>
      </c>
      <c r="G62" s="99" t="str">
        <f>IF(COUNT(B62:D62)=0, "H", IF(COUNT(B63:D63)=0, "V", IF(MAX(B62:D62) &gt;= MAX(B63:D63), "V", "H")))</f>
        <v>H</v>
      </c>
      <c r="H62" s="101">
        <f>MAX(B62:D63)</f>
        <v>0</v>
      </c>
      <c r="I62" s="149">
        <v>-30</v>
      </c>
      <c r="J62" s="143" t="str">
        <f t="shared" ref="J62" si="5">IF(OR(I62-H62&gt;10,I62-H62=-30),"No Peak Found",I62-H62)</f>
        <v>No Peak Found</v>
      </c>
      <c r="K62" s="171" t="s">
        <v>9</v>
      </c>
      <c r="L62" s="216" t="str">
        <f>IF(OR(COUNTIF(B62:D63, "-")+COUNTBLANK(B62:D63)=6), "Pass", IF(H62 &gt; I62, "Fail", IF(J62 &lt; 3, "Margin 부족", "Pass")))</f>
        <v>Pass</v>
      </c>
      <c r="M62" s="214" t="s">
        <v>11</v>
      </c>
    </row>
    <row r="63" spans="1:16" ht="21.95" customHeight="1" thickBot="1" x14ac:dyDescent="0.35">
      <c r="A63" s="165"/>
      <c r="B63" s="9"/>
      <c r="C63" s="9"/>
      <c r="D63" s="9"/>
      <c r="E63" s="14" t="s">
        <v>28</v>
      </c>
      <c r="F63" s="166"/>
      <c r="G63" s="167"/>
      <c r="H63" s="168"/>
      <c r="I63" s="169"/>
      <c r="J63" s="170"/>
      <c r="K63" s="172"/>
      <c r="L63" s="219"/>
      <c r="M63" s="215"/>
    </row>
    <row r="64" spans="1:16" ht="21.95" customHeight="1" x14ac:dyDescent="0.3">
      <c r="A64" s="155" t="s">
        <v>45</v>
      </c>
      <c r="B64" s="156"/>
      <c r="C64" s="156"/>
      <c r="D64" s="156"/>
      <c r="E64" s="157"/>
      <c r="F64" s="159" t="s">
        <v>51</v>
      </c>
      <c r="G64" s="159"/>
      <c r="H64" s="159"/>
      <c r="I64" s="159"/>
      <c r="J64" s="159"/>
      <c r="K64" s="159"/>
      <c r="L64" s="159"/>
      <c r="M64" s="160"/>
    </row>
    <row r="65" spans="1:13" ht="21.95" customHeight="1" x14ac:dyDescent="0.3">
      <c r="A65" s="158"/>
      <c r="B65" s="156"/>
      <c r="C65" s="156"/>
      <c r="D65" s="156"/>
      <c r="E65" s="157"/>
      <c r="F65" s="161"/>
      <c r="G65" s="161"/>
      <c r="H65" s="161"/>
      <c r="I65" s="161"/>
      <c r="J65" s="161"/>
      <c r="K65" s="161"/>
      <c r="L65" s="161"/>
      <c r="M65" s="162"/>
    </row>
    <row r="66" spans="1:13" ht="21.95" customHeight="1" thickBot="1" x14ac:dyDescent="0.35">
      <c r="A66" s="174" t="s">
        <v>6</v>
      </c>
      <c r="B66" s="175"/>
      <c r="C66" s="175"/>
      <c r="D66" s="175"/>
      <c r="E66" s="176"/>
      <c r="F66" s="177" t="s">
        <v>6</v>
      </c>
      <c r="G66" s="177"/>
      <c r="H66" s="177"/>
      <c r="I66" s="177"/>
      <c r="J66" s="177"/>
      <c r="K66" s="177"/>
      <c r="L66" s="177"/>
      <c r="M66" s="177"/>
    </row>
    <row r="67" spans="1:13" ht="21.95" customHeight="1" thickTop="1" x14ac:dyDescent="0.3">
      <c r="A67" s="71" t="s">
        <v>43</v>
      </c>
      <c r="B67" s="73" t="s">
        <v>14</v>
      </c>
      <c r="C67" s="73" t="s">
        <v>15</v>
      </c>
      <c r="D67" s="73" t="s">
        <v>16</v>
      </c>
      <c r="E67" s="75" t="s">
        <v>17</v>
      </c>
      <c r="F67" s="71" t="s">
        <v>43</v>
      </c>
      <c r="G67" s="77" t="s">
        <v>17</v>
      </c>
      <c r="H67" s="77" t="s">
        <v>29</v>
      </c>
      <c r="I67" s="79" t="s">
        <v>41</v>
      </c>
      <c r="J67" s="81" t="s">
        <v>42</v>
      </c>
      <c r="K67" s="187" t="s">
        <v>10</v>
      </c>
      <c r="L67" s="212" t="s">
        <v>18</v>
      </c>
      <c r="M67" s="206" t="s">
        <v>8</v>
      </c>
    </row>
    <row r="68" spans="1:13" ht="21.95" customHeight="1" x14ac:dyDescent="0.3">
      <c r="A68" s="72"/>
      <c r="B68" s="74"/>
      <c r="C68" s="74"/>
      <c r="D68" s="74"/>
      <c r="E68" s="76"/>
      <c r="F68" s="72"/>
      <c r="G68" s="78"/>
      <c r="H68" s="78"/>
      <c r="I68" s="80"/>
      <c r="J68" s="82"/>
      <c r="K68" s="188"/>
      <c r="L68" s="213"/>
      <c r="M68" s="207"/>
    </row>
    <row r="69" spans="1:13" ht="21.95" customHeight="1" x14ac:dyDescent="0.3">
      <c r="A69" s="189" t="s">
        <v>26</v>
      </c>
      <c r="B69" s="10"/>
      <c r="C69" s="1"/>
      <c r="D69" s="1"/>
      <c r="E69" s="11" t="s">
        <v>27</v>
      </c>
      <c r="F69" s="191" t="str">
        <f>A69</f>
        <v>Spurious</v>
      </c>
      <c r="G69" s="193" t="str">
        <f>IF(COUNT(B69:D69)=0, "H", IF(COUNT(B70:D70)=0, "V", IF(MAX(B69:D69) &gt;= MAX(B70:D70), "V", "H")))</f>
        <v>H</v>
      </c>
      <c r="H69" s="195">
        <f>MAX(B69:D70)</f>
        <v>0</v>
      </c>
      <c r="I69" s="197">
        <v>-57</v>
      </c>
      <c r="J69" s="178" t="str">
        <f>IF(OR(I69-H69&gt;10,I69-H69=-57),"No Peak Found",I69-H69)</f>
        <v>No Peak Found</v>
      </c>
      <c r="K69" s="180" t="s">
        <v>9</v>
      </c>
      <c r="L69" s="208" t="str">
        <f>IF(OR(COUNTIF(B69:D70, "-")+COUNTBLANK(B69:D70)=6), "Pass", IF(H69 &gt; I69, "Fail", IF(J69 &lt; 3, "Margin 부족", "Pass")))</f>
        <v>Pass</v>
      </c>
      <c r="M69" s="210" t="s">
        <v>12</v>
      </c>
    </row>
    <row r="70" spans="1:13" ht="21.95" customHeight="1" thickBot="1" x14ac:dyDescent="0.35">
      <c r="A70" s="190"/>
      <c r="B70" s="2"/>
      <c r="C70" s="2"/>
      <c r="D70" s="2"/>
      <c r="E70" s="12" t="s">
        <v>28</v>
      </c>
      <c r="F70" s="192"/>
      <c r="G70" s="194"/>
      <c r="H70" s="196"/>
      <c r="I70" s="198"/>
      <c r="J70" s="179"/>
      <c r="K70" s="181"/>
      <c r="L70" s="209"/>
      <c r="M70" s="211"/>
    </row>
    <row r="71" spans="1:13" ht="21.95" customHeight="1" thickBot="1" x14ac:dyDescent="0.35">
      <c r="A71" s="184" t="s">
        <v>33</v>
      </c>
      <c r="B71" s="185"/>
      <c r="C71" s="185"/>
      <c r="D71" s="185"/>
      <c r="E71" s="186"/>
      <c r="F71" s="70" t="s">
        <v>33</v>
      </c>
      <c r="G71" s="70"/>
      <c r="H71" s="70"/>
      <c r="I71" s="70"/>
      <c r="J71" s="70"/>
      <c r="K71" s="70"/>
      <c r="L71" s="70"/>
      <c r="M71" s="70"/>
    </row>
    <row r="72" spans="1:13" ht="21.95" customHeight="1" thickTop="1" x14ac:dyDescent="0.3">
      <c r="A72" s="71" t="s">
        <v>43</v>
      </c>
      <c r="B72" s="73" t="s">
        <v>14</v>
      </c>
      <c r="C72" s="73" t="s">
        <v>15</v>
      </c>
      <c r="D72" s="73" t="s">
        <v>16</v>
      </c>
      <c r="E72" s="75" t="s">
        <v>17</v>
      </c>
      <c r="F72" s="71" t="s">
        <v>43</v>
      </c>
      <c r="G72" s="77" t="s">
        <v>17</v>
      </c>
      <c r="H72" s="77" t="s">
        <v>29</v>
      </c>
      <c r="I72" s="79" t="s">
        <v>41</v>
      </c>
      <c r="J72" s="81" t="s">
        <v>42</v>
      </c>
      <c r="K72" s="187" t="s">
        <v>10</v>
      </c>
      <c r="L72" s="212" t="s">
        <v>18</v>
      </c>
      <c r="M72" s="206" t="s">
        <v>8</v>
      </c>
    </row>
    <row r="73" spans="1:13" ht="21.95" customHeight="1" x14ac:dyDescent="0.3">
      <c r="A73" s="72"/>
      <c r="B73" s="74"/>
      <c r="C73" s="74"/>
      <c r="D73" s="74"/>
      <c r="E73" s="76"/>
      <c r="F73" s="72"/>
      <c r="G73" s="78"/>
      <c r="H73" s="78"/>
      <c r="I73" s="80"/>
      <c r="J73" s="82"/>
      <c r="K73" s="188"/>
      <c r="L73" s="213"/>
      <c r="M73" s="207"/>
    </row>
    <row r="74" spans="1:13" ht="21.95" customHeight="1" x14ac:dyDescent="0.3">
      <c r="A74" s="189" t="s">
        <v>26</v>
      </c>
      <c r="B74" s="10"/>
      <c r="C74" s="1"/>
      <c r="D74" s="1"/>
      <c r="E74" s="11" t="s">
        <v>27</v>
      </c>
      <c r="F74" s="191" t="str">
        <f>A74</f>
        <v>Spurious</v>
      </c>
      <c r="G74" s="193" t="str">
        <f>IF(COUNT(B74:D74)=0, "H", IF(COUNT(B75:D75)=0, "V", IF(MAX(B74:D74) &gt;= MAX(B75:D75), "V", "H")))</f>
        <v>H</v>
      </c>
      <c r="H74" s="195">
        <f>MAX(B74:D75)</f>
        <v>0</v>
      </c>
      <c r="I74" s="197">
        <v>-47</v>
      </c>
      <c r="J74" s="178" t="str">
        <f>IF(OR(I74-H74&gt;10,I74-H74=-47),"No Peak Found",I74-H74)</f>
        <v>No Peak Found</v>
      </c>
      <c r="K74" s="180" t="s">
        <v>9</v>
      </c>
      <c r="L74" s="208" t="str">
        <f>IF(OR(COUNTIF(B74:D75, "-")+COUNTBLANK(B74:D75)=6), "Pass", IF(H74 &gt; I74, "Fail", IF(J74 &lt; 3, "Margin 부족", "Pass")))</f>
        <v>Pass</v>
      </c>
      <c r="M74" s="210" t="s">
        <v>12</v>
      </c>
    </row>
    <row r="75" spans="1:13" ht="21.95" customHeight="1" thickBot="1" x14ac:dyDescent="0.35">
      <c r="A75" s="190"/>
      <c r="B75" s="2"/>
      <c r="C75" s="2"/>
      <c r="D75" s="2"/>
      <c r="E75" s="12" t="s">
        <v>28</v>
      </c>
      <c r="F75" s="192"/>
      <c r="G75" s="194"/>
      <c r="H75" s="196"/>
      <c r="I75" s="198"/>
      <c r="J75" s="179"/>
      <c r="K75" s="181"/>
      <c r="L75" s="209"/>
      <c r="M75" s="211"/>
    </row>
  </sheetData>
  <mergeCells count="309">
    <mergeCell ref="J74:J75"/>
    <mergeCell ref="K74:K75"/>
    <mergeCell ref="L74:L75"/>
    <mergeCell ref="M74:M75"/>
    <mergeCell ref="I72:I73"/>
    <mergeCell ref="J72:J73"/>
    <mergeCell ref="K72:K73"/>
    <mergeCell ref="L72:L73"/>
    <mergeCell ref="M72:M73"/>
    <mergeCell ref="A74:A75"/>
    <mergeCell ref="F74:F75"/>
    <mergeCell ref="G74:G75"/>
    <mergeCell ref="H74:H75"/>
    <mergeCell ref="I74:I75"/>
    <mergeCell ref="A71:E71"/>
    <mergeCell ref="F71:M71"/>
    <mergeCell ref="A72:A73"/>
    <mergeCell ref="B72:B73"/>
    <mergeCell ref="C72:C73"/>
    <mergeCell ref="D72:D73"/>
    <mergeCell ref="E72:E73"/>
    <mergeCell ref="F72:F73"/>
    <mergeCell ref="G72:G73"/>
    <mergeCell ref="H72:H73"/>
    <mergeCell ref="M67:M68"/>
    <mergeCell ref="A69:A70"/>
    <mergeCell ref="F69:F70"/>
    <mergeCell ref="G69:G70"/>
    <mergeCell ref="H69:H70"/>
    <mergeCell ref="I69:I70"/>
    <mergeCell ref="J69:J70"/>
    <mergeCell ref="K69:K70"/>
    <mergeCell ref="L69:L70"/>
    <mergeCell ref="M69:M70"/>
    <mergeCell ref="G67:G68"/>
    <mergeCell ref="H67:H68"/>
    <mergeCell ref="I67:I68"/>
    <mergeCell ref="J67:J68"/>
    <mergeCell ref="K67:K68"/>
    <mergeCell ref="L67:L68"/>
    <mergeCell ref="A64:E65"/>
    <mergeCell ref="F64:M65"/>
    <mergeCell ref="A66:E66"/>
    <mergeCell ref="F66:M66"/>
    <mergeCell ref="A67:A68"/>
    <mergeCell ref="B67:B68"/>
    <mergeCell ref="C67:C68"/>
    <mergeCell ref="D67:D68"/>
    <mergeCell ref="E67:E68"/>
    <mergeCell ref="F67:F68"/>
    <mergeCell ref="M60:M61"/>
    <mergeCell ref="A62:A63"/>
    <mergeCell ref="F62:F63"/>
    <mergeCell ref="G62:G63"/>
    <mergeCell ref="H62:H63"/>
    <mergeCell ref="I62:I63"/>
    <mergeCell ref="J62:J63"/>
    <mergeCell ref="K62:K63"/>
    <mergeCell ref="L62:L63"/>
    <mergeCell ref="M62:M63"/>
    <mergeCell ref="L58:L59"/>
    <mergeCell ref="M58:M59"/>
    <mergeCell ref="A60:A61"/>
    <mergeCell ref="F60:F61"/>
    <mergeCell ref="G60:G61"/>
    <mergeCell ref="H60:H61"/>
    <mergeCell ref="I60:I61"/>
    <mergeCell ref="J60:J61"/>
    <mergeCell ref="K60:K61"/>
    <mergeCell ref="L60:L61"/>
    <mergeCell ref="M56:M57"/>
    <mergeCell ref="N56:P56"/>
    <mergeCell ref="N57:P57"/>
    <mergeCell ref="A58:A59"/>
    <mergeCell ref="F58:F59"/>
    <mergeCell ref="G58:G59"/>
    <mergeCell ref="H58:H59"/>
    <mergeCell ref="I58:I59"/>
    <mergeCell ref="J58:J59"/>
    <mergeCell ref="K58:K59"/>
    <mergeCell ref="N54:P54"/>
    <mergeCell ref="N55:P55"/>
    <mergeCell ref="A56:A57"/>
    <mergeCell ref="F56:F57"/>
    <mergeCell ref="G56:G57"/>
    <mergeCell ref="H56:H57"/>
    <mergeCell ref="I56:I57"/>
    <mergeCell ref="J56:J57"/>
    <mergeCell ref="K56:K57"/>
    <mergeCell ref="L56:L57"/>
    <mergeCell ref="H54:H55"/>
    <mergeCell ref="I54:I55"/>
    <mergeCell ref="J54:J55"/>
    <mergeCell ref="K54:K55"/>
    <mergeCell ref="L54:L55"/>
    <mergeCell ref="M54:M55"/>
    <mergeCell ref="M51:M52"/>
    <mergeCell ref="A53:E53"/>
    <mergeCell ref="F53:M53"/>
    <mergeCell ref="A54:A55"/>
    <mergeCell ref="B54:B55"/>
    <mergeCell ref="C54:C55"/>
    <mergeCell ref="D54:D55"/>
    <mergeCell ref="E54:E55"/>
    <mergeCell ref="F54:F55"/>
    <mergeCell ref="G54:G55"/>
    <mergeCell ref="L49:L50"/>
    <mergeCell ref="M49:M50"/>
    <mergeCell ref="A51:A52"/>
    <mergeCell ref="F51:F52"/>
    <mergeCell ref="G51:G52"/>
    <mergeCell ref="H51:H52"/>
    <mergeCell ref="I51:I52"/>
    <mergeCell ref="J51:J52"/>
    <mergeCell ref="K51:K52"/>
    <mergeCell ref="L51:L52"/>
    <mergeCell ref="F49:F50"/>
    <mergeCell ref="G49:G50"/>
    <mergeCell ref="H49:H50"/>
    <mergeCell ref="I49:I50"/>
    <mergeCell ref="J49:J50"/>
    <mergeCell ref="K49:K50"/>
    <mergeCell ref="J44:M45"/>
    <mergeCell ref="A46:E47"/>
    <mergeCell ref="F46:M47"/>
    <mergeCell ref="A48:E48"/>
    <mergeCell ref="F48:M48"/>
    <mergeCell ref="A49:A50"/>
    <mergeCell ref="B49:B50"/>
    <mergeCell ref="C49:C50"/>
    <mergeCell ref="D49:D50"/>
    <mergeCell ref="E49:E50"/>
    <mergeCell ref="J42:M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A40:M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J32:J33"/>
    <mergeCell ref="K32:K33"/>
    <mergeCell ref="L32:L33"/>
    <mergeCell ref="M32:M33"/>
    <mergeCell ref="A34:E34"/>
    <mergeCell ref="F34:M34"/>
    <mergeCell ref="I30:I31"/>
    <mergeCell ref="J30:J31"/>
    <mergeCell ref="K30:K31"/>
    <mergeCell ref="L30:L31"/>
    <mergeCell ref="M30:M31"/>
    <mergeCell ref="A32:A33"/>
    <mergeCell ref="F32:F33"/>
    <mergeCell ref="G32:G33"/>
    <mergeCell ref="H32:H33"/>
    <mergeCell ref="I32:I33"/>
    <mergeCell ref="A29:E29"/>
    <mergeCell ref="F29:M29"/>
    <mergeCell ref="A30:A31"/>
    <mergeCell ref="B30:B31"/>
    <mergeCell ref="C30:C31"/>
    <mergeCell ref="D30:D31"/>
    <mergeCell ref="E30:E31"/>
    <mergeCell ref="F30:F31"/>
    <mergeCell ref="G30:G31"/>
    <mergeCell ref="H30:H31"/>
    <mergeCell ref="K25:K26"/>
    <mergeCell ref="L25:L26"/>
    <mergeCell ref="M25:M26"/>
    <mergeCell ref="N25:P25"/>
    <mergeCell ref="N26:P26"/>
    <mergeCell ref="A27:E28"/>
    <mergeCell ref="F27:M28"/>
    <mergeCell ref="L23:L24"/>
    <mergeCell ref="M23:M24"/>
    <mergeCell ref="N23:P23"/>
    <mergeCell ref="N24:P24"/>
    <mergeCell ref="A25:A26"/>
    <mergeCell ref="F25:F26"/>
    <mergeCell ref="G25:G26"/>
    <mergeCell ref="H25:H26"/>
    <mergeCell ref="I25:I26"/>
    <mergeCell ref="J25:J26"/>
    <mergeCell ref="K21:K22"/>
    <mergeCell ref="L21:L22"/>
    <mergeCell ref="M21:M22"/>
    <mergeCell ref="A23:A24"/>
    <mergeCell ref="F23:F24"/>
    <mergeCell ref="G23:G24"/>
    <mergeCell ref="H23:H24"/>
    <mergeCell ref="I23:I24"/>
    <mergeCell ref="J23:J24"/>
    <mergeCell ref="K23:K24"/>
    <mergeCell ref="A21:A22"/>
    <mergeCell ref="F21:F22"/>
    <mergeCell ref="G21:G22"/>
    <mergeCell ref="H21:H22"/>
    <mergeCell ref="I21:I22"/>
    <mergeCell ref="J21:J22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</mergeCells>
  <phoneticPr fontId="1" type="noConversion"/>
  <conditionalFormatting sqref="J14">
    <cfRule type="cellIs" dxfId="320" priority="44" operator="lessThan">
      <formula>10</formula>
    </cfRule>
  </conditionalFormatting>
  <conditionalFormatting sqref="J14">
    <cfRule type="cellIs" dxfId="319" priority="43" operator="equal">
      <formula>-36</formula>
    </cfRule>
  </conditionalFormatting>
  <conditionalFormatting sqref="L14">
    <cfRule type="cellIs" dxfId="318" priority="42" operator="equal">
      <formula>"Fail"</formula>
    </cfRule>
  </conditionalFormatting>
  <conditionalFormatting sqref="J19">
    <cfRule type="cellIs" dxfId="317" priority="40" operator="equal">
      <formula>-30</formula>
    </cfRule>
    <cfRule type="cellIs" dxfId="316" priority="41" operator="lessThan">
      <formula>10</formula>
    </cfRule>
  </conditionalFormatting>
  <conditionalFormatting sqref="L19">
    <cfRule type="cellIs" dxfId="315" priority="39" operator="equal">
      <formula>"Fail"</formula>
    </cfRule>
  </conditionalFormatting>
  <conditionalFormatting sqref="L21">
    <cfRule type="cellIs" dxfId="314" priority="38" operator="equal">
      <formula>"Fail"</formula>
    </cfRule>
  </conditionalFormatting>
  <conditionalFormatting sqref="L23">
    <cfRule type="cellIs" dxfId="313" priority="37" operator="equal">
      <formula>"Fail"</formula>
    </cfRule>
  </conditionalFormatting>
  <conditionalFormatting sqref="L25">
    <cfRule type="cellIs" dxfId="312" priority="36" operator="equal">
      <formula>"Fail"</formula>
    </cfRule>
  </conditionalFormatting>
  <conditionalFormatting sqref="V28">
    <cfRule type="cellIs" dxfId="311" priority="35" operator="equal">
      <formula>"Fail"</formula>
    </cfRule>
  </conditionalFormatting>
  <conditionalFormatting sqref="L14:L15 L19:L26">
    <cfRule type="cellIs" dxfId="310" priority="34" operator="equal">
      <formula>"Pass"</formula>
    </cfRule>
  </conditionalFormatting>
  <conditionalFormatting sqref="L32">
    <cfRule type="cellIs" dxfId="309" priority="33" operator="equal">
      <formula>"Fail"</formula>
    </cfRule>
  </conditionalFormatting>
  <conditionalFormatting sqref="L32:L33">
    <cfRule type="cellIs" dxfId="308" priority="32" operator="equal">
      <formula>"Pass"</formula>
    </cfRule>
  </conditionalFormatting>
  <conditionalFormatting sqref="L37">
    <cfRule type="cellIs" dxfId="307" priority="31" operator="equal">
      <formula>"Fail"</formula>
    </cfRule>
  </conditionalFormatting>
  <conditionalFormatting sqref="L37:L38">
    <cfRule type="cellIs" dxfId="306" priority="30" operator="equal">
      <formula>"Pass"</formula>
    </cfRule>
  </conditionalFormatting>
  <conditionalFormatting sqref="B14:D15">
    <cfRule type="top10" dxfId="305" priority="29" rank="1"/>
  </conditionalFormatting>
  <conditionalFormatting sqref="B19:D20">
    <cfRule type="top10" dxfId="304" priority="28" rank="1"/>
  </conditionalFormatting>
  <conditionalFormatting sqref="B21:D22">
    <cfRule type="top10" dxfId="303" priority="27" rank="1"/>
  </conditionalFormatting>
  <conditionalFormatting sqref="B23:D24">
    <cfRule type="top10" dxfId="302" priority="26" rank="1"/>
  </conditionalFormatting>
  <conditionalFormatting sqref="B25:D26">
    <cfRule type="top10" dxfId="301" priority="25" rank="1"/>
  </conditionalFormatting>
  <conditionalFormatting sqref="J21 J23 J25">
    <cfRule type="cellIs" dxfId="300" priority="23" operator="equal">
      <formula>-30</formula>
    </cfRule>
    <cfRule type="cellIs" dxfId="299" priority="24" operator="lessThan">
      <formula>10</formula>
    </cfRule>
  </conditionalFormatting>
  <conditionalFormatting sqref="J51">
    <cfRule type="cellIs" dxfId="298" priority="22" operator="lessThan">
      <formula>10</formula>
    </cfRule>
  </conditionalFormatting>
  <conditionalFormatting sqref="J51">
    <cfRule type="cellIs" dxfId="297" priority="21" operator="equal">
      <formula>-36</formula>
    </cfRule>
  </conditionalFormatting>
  <conditionalFormatting sqref="L51">
    <cfRule type="cellIs" dxfId="296" priority="20" operator="equal">
      <formula>"Fail"</formula>
    </cfRule>
  </conditionalFormatting>
  <conditionalFormatting sqref="J56">
    <cfRule type="cellIs" dxfId="295" priority="18" operator="equal">
      <formula>-30</formula>
    </cfRule>
    <cfRule type="cellIs" dxfId="294" priority="19" operator="lessThan">
      <formula>10</formula>
    </cfRule>
  </conditionalFormatting>
  <conditionalFormatting sqref="L56">
    <cfRule type="cellIs" dxfId="293" priority="17" operator="equal">
      <formula>"Fail"</formula>
    </cfRule>
  </conditionalFormatting>
  <conditionalFormatting sqref="L58">
    <cfRule type="cellIs" dxfId="292" priority="16" operator="equal">
      <formula>"Fail"</formula>
    </cfRule>
  </conditionalFormatting>
  <conditionalFormatting sqref="L60">
    <cfRule type="cellIs" dxfId="291" priority="15" operator="equal">
      <formula>"Fail"</formula>
    </cfRule>
  </conditionalFormatting>
  <conditionalFormatting sqref="L62">
    <cfRule type="cellIs" dxfId="290" priority="14" operator="equal">
      <formula>"Fail"</formula>
    </cfRule>
  </conditionalFormatting>
  <conditionalFormatting sqref="L51:L52 L56:L63">
    <cfRule type="cellIs" dxfId="289" priority="13" operator="equal">
      <formula>"Pass"</formula>
    </cfRule>
  </conditionalFormatting>
  <conditionalFormatting sqref="L69">
    <cfRule type="cellIs" dxfId="288" priority="12" operator="equal">
      <formula>"Fail"</formula>
    </cfRule>
  </conditionalFormatting>
  <conditionalFormatting sqref="L69:L70">
    <cfRule type="cellIs" dxfId="287" priority="11" operator="equal">
      <formula>"Pass"</formula>
    </cfRule>
  </conditionalFormatting>
  <conditionalFormatting sqref="L74">
    <cfRule type="cellIs" dxfId="286" priority="10" operator="equal">
      <formula>"Fail"</formula>
    </cfRule>
  </conditionalFormatting>
  <conditionalFormatting sqref="L74:L75">
    <cfRule type="cellIs" dxfId="285" priority="9" operator="equal">
      <formula>"Pass"</formula>
    </cfRule>
  </conditionalFormatting>
  <conditionalFormatting sqref="B51:D52">
    <cfRule type="top10" dxfId="284" priority="8" rank="1"/>
  </conditionalFormatting>
  <conditionalFormatting sqref="B56:D57">
    <cfRule type="top10" dxfId="283" priority="7" rank="1"/>
  </conditionalFormatting>
  <conditionalFormatting sqref="B58:D59">
    <cfRule type="top10" dxfId="282" priority="6" rank="1"/>
  </conditionalFormatting>
  <conditionalFormatting sqref="B60:D61">
    <cfRule type="top10" dxfId="281" priority="5" rank="1"/>
  </conditionalFormatting>
  <conditionalFormatting sqref="B62:D63">
    <cfRule type="top10" dxfId="280" priority="4" rank="1"/>
  </conditionalFormatting>
  <conditionalFormatting sqref="J58 J60 J62">
    <cfRule type="cellIs" dxfId="279" priority="2" operator="equal">
      <formula>-30</formula>
    </cfRule>
    <cfRule type="cellIs" dxfId="278" priority="3" operator="lessThan">
      <formula>10</formula>
    </cfRule>
  </conditionalFormatting>
  <conditionalFormatting sqref="B37:D38">
    <cfRule type="top10" dxfId="277" priority="1" rank="1"/>
  </conditionalFormatting>
  <dataValidations count="1">
    <dataValidation type="list" allowBlank="1" showInputMessage="1" showErrorMessage="1" sqref="M14 M25 M19 M21 M23 M32:M33 M51 M62 M56 M58 M60 M74:M75 M69:M70 M37:M38" xr:uid="{5D86FDC6-F49D-49BB-AD8B-89075969ECB0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7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F6864-B39E-4762-A43E-0A408B4DC5A4}">
  <dimension ref="A1:P85"/>
  <sheetViews>
    <sheetView view="pageBreakPreview" zoomScale="85" zoomScaleNormal="100" zoomScaleSheetLayoutView="85" workbookViewId="0">
      <selection activeCell="F51" sqref="F51:M52"/>
    </sheetView>
  </sheetViews>
  <sheetFormatPr defaultRowHeight="16.5" outlineLevelCol="1" x14ac:dyDescent="0.3"/>
  <cols>
    <col min="1" max="11" width="12.625" style="6" customWidth="1"/>
    <col min="12" max="13" width="12.625" style="6" hidden="1" customWidth="1" outlineLevel="1"/>
    <col min="14" max="14" width="12.625" style="6" customWidth="1" collapsed="1"/>
    <col min="15" max="16" width="12.625" style="6" customWidth="1"/>
    <col min="17" max="22" width="12.625" customWidth="1"/>
  </cols>
  <sheetData>
    <row r="1" spans="1:13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3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46</v>
      </c>
      <c r="H2" s="28"/>
      <c r="I2" s="28"/>
      <c r="J2" s="28"/>
      <c r="K2" s="28"/>
      <c r="L2" s="28"/>
      <c r="M2" s="29"/>
    </row>
    <row r="3" spans="1:13" ht="24.95" customHeight="1" x14ac:dyDescent="0.3">
      <c r="A3" s="30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3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3" ht="20.100000000000001" customHeight="1" x14ac:dyDescent="0.3">
      <c r="A7" s="62" t="s">
        <v>72</v>
      </c>
      <c r="B7" s="36"/>
      <c r="C7" s="64"/>
      <c r="D7" s="36"/>
      <c r="E7" s="36"/>
      <c r="F7" s="36"/>
      <c r="G7" s="36"/>
      <c r="H7" s="37">
        <v>30</v>
      </c>
      <c r="I7" s="37"/>
      <c r="J7" s="39"/>
      <c r="K7" s="40"/>
      <c r="L7" s="40"/>
      <c r="M7" s="41"/>
    </row>
    <row r="8" spans="1:13" ht="20.100000000000001" customHeight="1" thickBot="1" x14ac:dyDescent="0.35">
      <c r="A8" s="63"/>
      <c r="B8" s="37"/>
      <c r="C8" s="65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3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3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</row>
    <row r="11" spans="1:13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3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85" t="s">
        <v>18</v>
      </c>
      <c r="M12" s="87" t="s">
        <v>8</v>
      </c>
    </row>
    <row r="13" spans="1:13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86"/>
      <c r="M13" s="88"/>
    </row>
    <row r="14" spans="1:13" ht="21.95" customHeight="1" x14ac:dyDescent="0.3">
      <c r="A14" s="95" t="s">
        <v>26</v>
      </c>
      <c r="B14" s="3"/>
      <c r="C14" s="3"/>
      <c r="D14" s="3"/>
      <c r="E14" s="11" t="s">
        <v>27</v>
      </c>
      <c r="F14" s="97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91" t="str">
        <f>IF(OR(COUNTIF(B14:D15, "-")+COUNTBLANK(B14:D15)=6), "Pass", IF(H14 &gt; I14, "Fail", IF(J14 &lt; 3, "Margin 부족", "Pass")))</f>
        <v>Pass</v>
      </c>
      <c r="M14" s="93" t="s">
        <v>12</v>
      </c>
    </row>
    <row r="15" spans="1:13" ht="21.95" customHeight="1" thickBot="1" x14ac:dyDescent="0.35">
      <c r="A15" s="96"/>
      <c r="B15" s="7"/>
      <c r="C15" s="7"/>
      <c r="D15" s="7"/>
      <c r="E15" s="12" t="s">
        <v>28</v>
      </c>
      <c r="F15" s="98"/>
      <c r="G15" s="100"/>
      <c r="H15" s="102"/>
      <c r="I15" s="104"/>
      <c r="J15" s="106"/>
      <c r="K15" s="90"/>
      <c r="L15" s="92"/>
      <c r="M15" s="94"/>
    </row>
    <row r="16" spans="1:13" ht="21.95" customHeight="1" thickBot="1" x14ac:dyDescent="0.35">
      <c r="A16" s="107" t="s">
        <v>30</v>
      </c>
      <c r="B16" s="108"/>
      <c r="C16" s="108"/>
      <c r="D16" s="108"/>
      <c r="E16" s="109"/>
      <c r="F16" s="108" t="s">
        <v>30</v>
      </c>
      <c r="G16" s="108"/>
      <c r="H16" s="108"/>
      <c r="I16" s="108"/>
      <c r="J16" s="70"/>
      <c r="K16" s="108"/>
      <c r="L16" s="108"/>
      <c r="M16" s="108"/>
    </row>
    <row r="17" spans="1:16" ht="21.95" customHeight="1" thickTop="1" x14ac:dyDescent="0.3">
      <c r="A17" s="71" t="s">
        <v>43</v>
      </c>
      <c r="B17" s="73" t="s">
        <v>14</v>
      </c>
      <c r="C17" s="73" t="s">
        <v>15</v>
      </c>
      <c r="D17" s="73" t="s">
        <v>16</v>
      </c>
      <c r="E17" s="75" t="s">
        <v>17</v>
      </c>
      <c r="F17" s="71" t="s">
        <v>43</v>
      </c>
      <c r="G17" s="77" t="s">
        <v>17</v>
      </c>
      <c r="H17" s="77" t="s">
        <v>29</v>
      </c>
      <c r="I17" s="79" t="s">
        <v>41</v>
      </c>
      <c r="J17" s="81" t="s">
        <v>42</v>
      </c>
      <c r="K17" s="83" t="s">
        <v>10</v>
      </c>
      <c r="L17" s="85" t="s">
        <v>18</v>
      </c>
      <c r="M17" s="87" t="s">
        <v>8</v>
      </c>
    </row>
    <row r="18" spans="1:16" ht="21.95" customHeight="1" x14ac:dyDescent="0.3">
      <c r="A18" s="72"/>
      <c r="B18" s="74"/>
      <c r="C18" s="74"/>
      <c r="D18" s="74"/>
      <c r="E18" s="76"/>
      <c r="F18" s="72"/>
      <c r="G18" s="78"/>
      <c r="H18" s="78"/>
      <c r="I18" s="80"/>
      <c r="J18" s="82"/>
      <c r="K18" s="84"/>
      <c r="L18" s="86"/>
      <c r="M18" s="88"/>
    </row>
    <row r="19" spans="1:16" ht="21.95" customHeight="1" x14ac:dyDescent="0.3">
      <c r="A19" s="110" t="s">
        <v>26</v>
      </c>
      <c r="B19" s="3"/>
      <c r="C19" s="3"/>
      <c r="D19" s="3"/>
      <c r="E19" s="11" t="s">
        <v>27</v>
      </c>
      <c r="F19" s="112" t="str">
        <f>$A$19</f>
        <v>Spurious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05" t="str">
        <f>IF(OR(I19-H19&gt;10,I19-H19=-30),"No Peak Found",I19-H19)</f>
        <v>No Peak Found</v>
      </c>
      <c r="K19" s="89" t="s">
        <v>9</v>
      </c>
      <c r="L19" s="91" t="str">
        <f>IF(OR(COUNTIF(B19:D20, "-")+COUNTBLANK(B19:D20)=6), "Pass", IF(H19 &gt; I19, "Fail", IF(J19 &lt; 3, "Margin 부족", "Pass")))</f>
        <v>Pass</v>
      </c>
      <c r="M19" s="93" t="s">
        <v>12</v>
      </c>
    </row>
    <row r="20" spans="1:16" ht="21.95" customHeight="1" thickBot="1" x14ac:dyDescent="0.35">
      <c r="A20" s="111"/>
      <c r="B20" s="7"/>
      <c r="C20" s="7"/>
      <c r="D20" s="7"/>
      <c r="E20" s="12" t="s">
        <v>28</v>
      </c>
      <c r="F20" s="113"/>
      <c r="G20" s="114"/>
      <c r="H20" s="115"/>
      <c r="I20" s="116"/>
      <c r="J20" s="106"/>
      <c r="K20" s="117"/>
      <c r="L20" s="118"/>
      <c r="M20" s="119"/>
    </row>
    <row r="21" spans="1:16" ht="21.95" customHeight="1" thickBot="1" x14ac:dyDescent="0.35">
      <c r="A21" s="120" t="s">
        <v>31</v>
      </c>
      <c r="B21" s="121"/>
      <c r="C21" s="121"/>
      <c r="D21" s="121"/>
      <c r="E21" s="121"/>
      <c r="F21" s="122" t="s">
        <v>31</v>
      </c>
      <c r="G21" s="123"/>
      <c r="H21" s="123"/>
      <c r="I21" s="123"/>
      <c r="J21" s="70"/>
      <c r="K21" s="123"/>
      <c r="L21" s="124"/>
      <c r="M21" s="125"/>
    </row>
    <row r="22" spans="1:16" ht="21.95" customHeight="1" thickTop="1" x14ac:dyDescent="0.3">
      <c r="A22" s="126" t="s">
        <v>43</v>
      </c>
      <c r="B22" s="128" t="s">
        <v>14</v>
      </c>
      <c r="C22" s="128" t="s">
        <v>15</v>
      </c>
      <c r="D22" s="128" t="s">
        <v>16</v>
      </c>
      <c r="E22" s="130" t="s">
        <v>17</v>
      </c>
      <c r="F22" s="126" t="s">
        <v>43</v>
      </c>
      <c r="G22" s="132" t="s">
        <v>17</v>
      </c>
      <c r="H22" s="132" t="s">
        <v>29</v>
      </c>
      <c r="I22" s="133" t="s">
        <v>41</v>
      </c>
      <c r="J22" s="81" t="s">
        <v>42</v>
      </c>
      <c r="K22" s="134" t="s">
        <v>10</v>
      </c>
      <c r="L22" s="136" t="s">
        <v>18</v>
      </c>
      <c r="M22" s="138" t="s">
        <v>8</v>
      </c>
    </row>
    <row r="23" spans="1:16" ht="21.75" customHeight="1" x14ac:dyDescent="0.3">
      <c r="A23" s="127"/>
      <c r="B23" s="129"/>
      <c r="C23" s="129"/>
      <c r="D23" s="129"/>
      <c r="E23" s="131"/>
      <c r="F23" s="127"/>
      <c r="G23" s="78"/>
      <c r="H23" s="78"/>
      <c r="I23" s="80"/>
      <c r="J23" s="82"/>
      <c r="K23" s="135"/>
      <c r="L23" s="137"/>
      <c r="M23" s="139"/>
    </row>
    <row r="24" spans="1:16" ht="21.95" customHeight="1" x14ac:dyDescent="0.3">
      <c r="A24" s="140">
        <f>J7*2</f>
        <v>0</v>
      </c>
      <c r="B24" s="4"/>
      <c r="C24" s="4"/>
      <c r="D24" s="4"/>
      <c r="E24" s="13" t="s">
        <v>1</v>
      </c>
      <c r="F24" s="142">
        <f>$A$24</f>
        <v>0</v>
      </c>
      <c r="G24" s="99" t="str">
        <f>IF(COUNT(B24:D24)=0, "H", IF(COUNT(B25:D25)=0, "V", IF(MAX(B24:D24) &gt;= MAX(B25:D25), "V", "H")))</f>
        <v>H</v>
      </c>
      <c r="H24" s="101">
        <f>MAX(B24:D25)</f>
        <v>0</v>
      </c>
      <c r="I24" s="103">
        <v>-30</v>
      </c>
      <c r="J24" s="143" t="str">
        <f>IF(OR(I24-H24&gt;10,I24-H24=-30),"No Peak Found",I24-H24)</f>
        <v>No Peak Found</v>
      </c>
      <c r="K24" s="144" t="s">
        <v>9</v>
      </c>
      <c r="L24" s="117" t="str">
        <f>IF(OR(COUNTIF(B24:D25, "-")+COUNTBLANK(B24:D25)=6), "Pass", IF(H24 &gt; I24, "Fail", IF(J24 &lt; 3, "Margin 부족", "Pass")))</f>
        <v>Pass</v>
      </c>
      <c r="M24" s="146" t="s">
        <v>11</v>
      </c>
    </row>
    <row r="25" spans="1:16" ht="21.95" customHeight="1" x14ac:dyDescent="0.3">
      <c r="A25" s="141"/>
      <c r="B25" s="4"/>
      <c r="C25" s="4"/>
      <c r="D25" s="4"/>
      <c r="E25" s="13" t="s">
        <v>0</v>
      </c>
      <c r="F25" s="142"/>
      <c r="G25" s="99"/>
      <c r="H25" s="101"/>
      <c r="I25" s="103"/>
      <c r="J25" s="143"/>
      <c r="K25" s="144"/>
      <c r="L25" s="145"/>
      <c r="M25" s="147"/>
    </row>
    <row r="26" spans="1:16" ht="21.95" customHeight="1" x14ac:dyDescent="0.3">
      <c r="A26" s="140">
        <f>J7*3</f>
        <v>0</v>
      </c>
      <c r="B26" s="4"/>
      <c r="C26" s="4"/>
      <c r="D26" s="4"/>
      <c r="E26" s="13" t="s">
        <v>1</v>
      </c>
      <c r="F26" s="148">
        <f>$A$26</f>
        <v>0</v>
      </c>
      <c r="G26" s="99" t="str">
        <f>IF(COUNT(B26:D26)=0, "H", IF(COUNT(B27:D27)=0, "V", IF(MAX(B26:D26) &gt;= MAX(B27:D27), "V", "H")))</f>
        <v>H</v>
      </c>
      <c r="H26" s="101">
        <f>MAX(B26:D27)</f>
        <v>0</v>
      </c>
      <c r="I26" s="149">
        <v>-30</v>
      </c>
      <c r="J26" s="143" t="str">
        <f t="shared" ref="J26" si="0">IF(OR(I26-H26&gt;10,I26-H26=-30),"No Peak Found",I26-H26)</f>
        <v>No Peak Found</v>
      </c>
      <c r="K26" s="150" t="s">
        <v>9</v>
      </c>
      <c r="L26" s="117" t="str">
        <f>IF(OR(COUNTIF(B26:D27, "-")+COUNTBLANK(B26:D27)=6), "Pass", IF(H26 &gt; I26, "Fail", IF(J26 &lt; 3, "Margin 부족", "Pass")))</f>
        <v>Pass</v>
      </c>
      <c r="M26" s="146" t="s">
        <v>11</v>
      </c>
    </row>
    <row r="27" spans="1:16" ht="21.95" customHeight="1" x14ac:dyDescent="0.3">
      <c r="A27" s="141"/>
      <c r="B27" s="4"/>
      <c r="C27" s="4"/>
      <c r="D27" s="4"/>
      <c r="E27" s="13" t="s">
        <v>0</v>
      </c>
      <c r="F27" s="148"/>
      <c r="G27" s="99"/>
      <c r="H27" s="101"/>
      <c r="I27" s="149"/>
      <c r="J27" s="143"/>
      <c r="K27" s="150"/>
      <c r="L27" s="145"/>
      <c r="M27" s="147"/>
      <c r="N27" s="8" t="s">
        <v>8</v>
      </c>
    </row>
    <row r="28" spans="1:16" ht="21.95" customHeight="1" x14ac:dyDescent="0.3">
      <c r="A28" s="140">
        <f>J7*4</f>
        <v>0</v>
      </c>
      <c r="B28" s="4"/>
      <c r="C28" s="4"/>
      <c r="D28" s="4"/>
      <c r="E28" s="13" t="s">
        <v>1</v>
      </c>
      <c r="F28" s="142">
        <f>$A$28</f>
        <v>0</v>
      </c>
      <c r="G28" s="99" t="str">
        <f>IF(COUNT(B28:D28)=0, "H", IF(COUNT(B29:D29)=0, "V", IF(MAX(B28:D28) &gt;= MAX(B29:D29), "V", "H")))</f>
        <v>H</v>
      </c>
      <c r="H28" s="101">
        <f>MAX(B28:D29)</f>
        <v>0</v>
      </c>
      <c r="I28" s="149">
        <v>-30</v>
      </c>
      <c r="J28" s="143" t="str">
        <f t="shared" ref="J28" si="1">IF(OR(I28-H28&gt;10,I28-H28=-30),"No Peak Found",I28-H28)</f>
        <v>No Peak Found</v>
      </c>
      <c r="K28" s="171" t="s">
        <v>9</v>
      </c>
      <c r="L28" s="117" t="str">
        <f>IF(OR(COUNTIF(B28:D29, "-")+COUNTBLANK(B28:D29)=6), "Pass", IF(H28 &gt; I28, "Fail", IF(J28 &lt; 3, "Margin 부족", "Pass")))</f>
        <v>Pass</v>
      </c>
      <c r="M28" s="146" t="s">
        <v>11</v>
      </c>
      <c r="N28" s="163" t="str">
        <f>"1. Sub6 NR Band : " &amp; VALUE(RIGHT(A7, LEN(A7)-1))</f>
        <v>1. Sub6 NR Band : 38</v>
      </c>
      <c r="O28" s="164"/>
      <c r="P28" s="164"/>
    </row>
    <row r="29" spans="1:16" ht="21.95" customHeight="1" x14ac:dyDescent="0.3">
      <c r="A29" s="141"/>
      <c r="B29" s="4"/>
      <c r="C29" s="4"/>
      <c r="D29" s="4"/>
      <c r="E29" s="13" t="s">
        <v>0</v>
      </c>
      <c r="F29" s="142"/>
      <c r="G29" s="99"/>
      <c r="H29" s="101"/>
      <c r="I29" s="149"/>
      <c r="J29" s="143"/>
      <c r="K29" s="171"/>
      <c r="L29" s="145"/>
      <c r="M29" s="147"/>
      <c r="N29" s="152" t="str">
        <f>"2. SCS : " &amp; H7 &amp; " kHz"</f>
        <v>2. SCS : 30 kHz</v>
      </c>
      <c r="O29" s="153"/>
      <c r="P29" s="153"/>
    </row>
    <row r="30" spans="1:16" ht="21.95" customHeight="1" x14ac:dyDescent="0.3">
      <c r="A30" s="140">
        <f>J7*5</f>
        <v>0</v>
      </c>
      <c r="B30" s="4"/>
      <c r="C30" s="4"/>
      <c r="D30" s="4"/>
      <c r="E30" s="13" t="s">
        <v>1</v>
      </c>
      <c r="F30" s="148">
        <f>$A$30</f>
        <v>0</v>
      </c>
      <c r="G30" s="99" t="str">
        <f>IF(COUNT(B30:D30)=0, "H", IF(COUNT(B31:D31)=0, "V", IF(MAX(B30:D30) &gt;= MAX(B31:D31), "V", "H")))</f>
        <v>H</v>
      </c>
      <c r="H30" s="101">
        <f>MAX(B30:D31)</f>
        <v>0</v>
      </c>
      <c r="I30" s="149">
        <v>-30</v>
      </c>
      <c r="J30" s="143" t="str">
        <f t="shared" ref="J30" si="2">IF(OR(I30-H30&gt;10,I30-H30=-30),"No Peak Found",I30-H30)</f>
        <v>No Peak Found</v>
      </c>
      <c r="K30" s="171" t="s">
        <v>9</v>
      </c>
      <c r="L30" s="117" t="str">
        <f>IF(OR(COUNTIF(B30:D31, "-")+COUNTBLANK(B30:D31)=6), "Pass", IF(H30 &gt; I30, "Fail", IF(J30 &lt; 3, "Margin 부족", "Pass")))</f>
        <v>Pass</v>
      </c>
      <c r="M30" s="146" t="s">
        <v>11</v>
      </c>
      <c r="N30" s="152" t="str">
        <f>"3. The test was performed the " &amp; I7 &amp; " antenna."</f>
        <v>3. The test was performed the  antenna.</v>
      </c>
      <c r="O30" s="153"/>
      <c r="P30" s="153"/>
    </row>
    <row r="31" spans="1:16" ht="21.95" customHeight="1" thickBot="1" x14ac:dyDescent="0.35">
      <c r="A31" s="165"/>
      <c r="B31" s="9"/>
      <c r="C31" s="9"/>
      <c r="D31" s="9"/>
      <c r="E31" s="14" t="s">
        <v>28</v>
      </c>
      <c r="F31" s="166"/>
      <c r="G31" s="167"/>
      <c r="H31" s="168"/>
      <c r="I31" s="169"/>
      <c r="J31" s="170"/>
      <c r="K31" s="172"/>
      <c r="L31" s="173"/>
      <c r="M31" s="151"/>
      <c r="N31" s="152" t="str">
        <f>"4. " &amp; LEFT(A9, FIND(" ", A9 &amp; " ") - 1) &amp; " Mode Test."</f>
        <v>4. NSA Mode Test.</v>
      </c>
      <c r="O31" s="154"/>
      <c r="P31" s="154"/>
    </row>
    <row r="32" spans="1:16" ht="24.95" customHeight="1" x14ac:dyDescent="0.3">
      <c r="A32" s="155" t="s">
        <v>32</v>
      </c>
      <c r="B32" s="156"/>
      <c r="C32" s="156"/>
      <c r="D32" s="156"/>
      <c r="E32" s="157"/>
      <c r="F32" s="159" t="s">
        <v>49</v>
      </c>
      <c r="G32" s="159"/>
      <c r="H32" s="159"/>
      <c r="I32" s="159"/>
      <c r="J32" s="159"/>
      <c r="K32" s="159"/>
      <c r="L32" s="159"/>
      <c r="M32" s="160"/>
    </row>
    <row r="33" spans="1:13" ht="24.95" customHeight="1" x14ac:dyDescent="0.3">
      <c r="A33" s="158"/>
      <c r="B33" s="156"/>
      <c r="C33" s="156"/>
      <c r="D33" s="156"/>
      <c r="E33" s="157"/>
      <c r="F33" s="161"/>
      <c r="G33" s="161"/>
      <c r="H33" s="161"/>
      <c r="I33" s="161"/>
      <c r="J33" s="161"/>
      <c r="K33" s="161"/>
      <c r="L33" s="161"/>
      <c r="M33" s="162"/>
    </row>
    <row r="34" spans="1:13" ht="21.95" customHeight="1" thickBot="1" x14ac:dyDescent="0.35">
      <c r="A34" s="174" t="s">
        <v>6</v>
      </c>
      <c r="B34" s="175"/>
      <c r="C34" s="175"/>
      <c r="D34" s="175"/>
      <c r="E34" s="176"/>
      <c r="F34" s="177" t="s">
        <v>6</v>
      </c>
      <c r="G34" s="177"/>
      <c r="H34" s="177"/>
      <c r="I34" s="177"/>
      <c r="J34" s="177"/>
      <c r="K34" s="177"/>
      <c r="L34" s="177"/>
      <c r="M34" s="177"/>
    </row>
    <row r="35" spans="1:13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85" t="s">
        <v>18</v>
      </c>
      <c r="M35" s="87" t="s">
        <v>8</v>
      </c>
    </row>
    <row r="36" spans="1:13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86"/>
      <c r="M36" s="88"/>
    </row>
    <row r="37" spans="1:13" ht="21.95" customHeight="1" x14ac:dyDescent="0.3">
      <c r="A37" s="189" t="s">
        <v>26</v>
      </c>
      <c r="B37" s="10"/>
      <c r="C37" s="1"/>
      <c r="D37" s="1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-57</v>
      </c>
      <c r="J37" s="178" t="str">
        <f>IF(OR(I37-H37&gt;10,I37-H37=-57),"No Peak Found",I37-H37)</f>
        <v>No Peak Found</v>
      </c>
      <c r="K37" s="180" t="s">
        <v>9</v>
      </c>
      <c r="L37" s="91" t="str">
        <f>IF(OR(COUNTIF(B37:D38, "-")+COUNTBLANK(B37:D38)=6), "Pass", IF(H37 &gt; I37, "Fail", IF(J37 &lt; 3, "Margin 부족", "Pass")))</f>
        <v>Pass</v>
      </c>
      <c r="M37" s="182" t="s">
        <v>12</v>
      </c>
    </row>
    <row r="38" spans="1:13" ht="21.95" customHeight="1" thickBot="1" x14ac:dyDescent="0.35">
      <c r="A38" s="190"/>
      <c r="B38" s="2"/>
      <c r="C38" s="2"/>
      <c r="D38" s="2"/>
      <c r="E38" s="12" t="s">
        <v>28</v>
      </c>
      <c r="F38" s="192"/>
      <c r="G38" s="194"/>
      <c r="H38" s="196"/>
      <c r="I38" s="198"/>
      <c r="J38" s="179"/>
      <c r="K38" s="181"/>
      <c r="L38" s="92"/>
      <c r="M38" s="183"/>
    </row>
    <row r="39" spans="1:13" ht="21.95" customHeight="1" thickBot="1" x14ac:dyDescent="0.35">
      <c r="A39" s="184" t="s">
        <v>33</v>
      </c>
      <c r="B39" s="185"/>
      <c r="C39" s="185"/>
      <c r="D39" s="185"/>
      <c r="E39" s="186"/>
      <c r="F39" s="70" t="s">
        <v>33</v>
      </c>
      <c r="G39" s="70"/>
      <c r="H39" s="70"/>
      <c r="I39" s="70"/>
      <c r="J39" s="70"/>
      <c r="K39" s="70"/>
      <c r="L39" s="70"/>
      <c r="M39" s="70"/>
    </row>
    <row r="40" spans="1:13" ht="21.95" customHeight="1" thickTop="1" x14ac:dyDescent="0.3">
      <c r="A40" s="71" t="s">
        <v>43</v>
      </c>
      <c r="B40" s="73" t="s">
        <v>14</v>
      </c>
      <c r="C40" s="73" t="s">
        <v>15</v>
      </c>
      <c r="D40" s="73" t="s">
        <v>16</v>
      </c>
      <c r="E40" s="75" t="s">
        <v>17</v>
      </c>
      <c r="F40" s="71" t="s">
        <v>43</v>
      </c>
      <c r="G40" s="77" t="s">
        <v>17</v>
      </c>
      <c r="H40" s="77" t="s">
        <v>29</v>
      </c>
      <c r="I40" s="79" t="s">
        <v>41</v>
      </c>
      <c r="J40" s="81" t="s">
        <v>42</v>
      </c>
      <c r="K40" s="187" t="s">
        <v>10</v>
      </c>
      <c r="L40" s="85" t="s">
        <v>18</v>
      </c>
      <c r="M40" s="87" t="s">
        <v>8</v>
      </c>
    </row>
    <row r="41" spans="1:13" ht="21.95" customHeight="1" x14ac:dyDescent="0.3">
      <c r="A41" s="72"/>
      <c r="B41" s="74"/>
      <c r="C41" s="74"/>
      <c r="D41" s="74"/>
      <c r="E41" s="76"/>
      <c r="F41" s="72"/>
      <c r="G41" s="78"/>
      <c r="H41" s="78"/>
      <c r="I41" s="80"/>
      <c r="J41" s="82"/>
      <c r="K41" s="188"/>
      <c r="L41" s="86"/>
      <c r="M41" s="88"/>
    </row>
    <row r="42" spans="1:13" ht="21.95" customHeight="1" x14ac:dyDescent="0.3">
      <c r="A42" s="189" t="s">
        <v>26</v>
      </c>
      <c r="B42" s="10"/>
      <c r="C42" s="1"/>
      <c r="D42" s="1"/>
      <c r="E42" s="11" t="s">
        <v>27</v>
      </c>
      <c r="F42" s="191" t="str">
        <f>A42</f>
        <v>Spurious</v>
      </c>
      <c r="G42" s="193" t="str">
        <f>IF(COUNT(B42:D42)=0, "H", IF(COUNT(B43:D43)=0, "V", IF(MAX(B42:D42) &gt;= MAX(B43:D43), "V", "H")))</f>
        <v>H</v>
      </c>
      <c r="H42" s="195">
        <f>MAX(B42:D43)</f>
        <v>0</v>
      </c>
      <c r="I42" s="197">
        <v>-47</v>
      </c>
      <c r="J42" s="178" t="str">
        <f>IF(OR(I42-H42&gt;10,I42-H42=-47),"No Peak Found",I42-H42)</f>
        <v>No Peak Found</v>
      </c>
      <c r="K42" s="180" t="s">
        <v>9</v>
      </c>
      <c r="L42" s="91" t="str">
        <f>IF(OR(COUNTIF(B42:D43, "-")+COUNTBLANK(B42:D43)=6), "Pass", IF(H42 &gt; I42, "Fail", IF(J42 &lt; 3, "Margin 부족", "Pass")))</f>
        <v>Pass</v>
      </c>
      <c r="M42" s="182" t="s">
        <v>12</v>
      </c>
    </row>
    <row r="43" spans="1:13" ht="21.95" customHeight="1" thickBot="1" x14ac:dyDescent="0.35">
      <c r="A43" s="190"/>
      <c r="B43" s="2"/>
      <c r="C43" s="2"/>
      <c r="D43" s="2"/>
      <c r="E43" s="12" t="s">
        <v>28</v>
      </c>
      <c r="F43" s="192"/>
      <c r="G43" s="194"/>
      <c r="H43" s="196"/>
      <c r="I43" s="198"/>
      <c r="J43" s="179"/>
      <c r="K43" s="181"/>
      <c r="L43" s="92"/>
      <c r="M43" s="183"/>
    </row>
    <row r="44" spans="1:13" ht="21.95" customHeight="1" thickBot="1" x14ac:dyDescent="0.35"/>
    <row r="45" spans="1:13" ht="21.95" customHeight="1" x14ac:dyDescent="0.3">
      <c r="A45" s="30" t="s">
        <v>67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2"/>
    </row>
    <row r="46" spans="1:13" ht="21.95" customHeight="1" thickBot="1" x14ac:dyDescent="0.35">
      <c r="A46" s="231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4"/>
    </row>
    <row r="47" spans="1:13" ht="21.95" customHeight="1" x14ac:dyDescent="0.3">
      <c r="A47" s="235" t="s">
        <v>19</v>
      </c>
      <c r="B47" s="254" t="s">
        <v>68</v>
      </c>
      <c r="C47" s="236" t="s">
        <v>22</v>
      </c>
      <c r="D47" s="237" t="s">
        <v>23</v>
      </c>
      <c r="E47" s="237" t="s">
        <v>20</v>
      </c>
      <c r="F47" s="237" t="s">
        <v>21</v>
      </c>
      <c r="G47" s="237" t="s">
        <v>24</v>
      </c>
      <c r="H47" s="238" t="s">
        <v>39</v>
      </c>
      <c r="I47" s="239" t="s">
        <v>37</v>
      </c>
      <c r="J47" s="240" t="s">
        <v>40</v>
      </c>
      <c r="K47" s="241"/>
      <c r="L47" s="241"/>
      <c r="M47" s="242"/>
    </row>
    <row r="48" spans="1:13" ht="21.95" customHeight="1" x14ac:dyDescent="0.3">
      <c r="A48" s="243"/>
      <c r="B48" s="233"/>
      <c r="C48" s="229"/>
      <c r="D48" s="53"/>
      <c r="E48" s="53"/>
      <c r="F48" s="53"/>
      <c r="G48" s="53"/>
      <c r="H48" s="52"/>
      <c r="I48" s="52"/>
      <c r="J48" s="59"/>
      <c r="K48" s="60"/>
      <c r="L48" s="60"/>
      <c r="M48" s="244"/>
    </row>
    <row r="49" spans="1:16" ht="21.95" customHeight="1" x14ac:dyDescent="0.3">
      <c r="A49" s="245" t="s">
        <v>72</v>
      </c>
      <c r="B49" s="255"/>
      <c r="C49" s="230"/>
      <c r="D49" s="36"/>
      <c r="E49" s="36"/>
      <c r="F49" s="36"/>
      <c r="G49" s="36"/>
      <c r="H49" s="37">
        <v>30</v>
      </c>
      <c r="I49" s="37"/>
      <c r="J49" s="39"/>
      <c r="K49" s="40"/>
      <c r="L49" s="40"/>
      <c r="M49" s="246"/>
    </row>
    <row r="50" spans="1:16" ht="21.95" customHeight="1" thickBot="1" x14ac:dyDescent="0.35">
      <c r="A50" s="247"/>
      <c r="B50" s="256"/>
      <c r="C50" s="248"/>
      <c r="D50" s="249"/>
      <c r="E50" s="249"/>
      <c r="F50" s="249"/>
      <c r="G50" s="249"/>
      <c r="H50" s="250"/>
      <c r="I50" s="250"/>
      <c r="J50" s="251"/>
      <c r="K50" s="252"/>
      <c r="L50" s="252"/>
      <c r="M50" s="253"/>
    </row>
    <row r="51" spans="1:16" ht="21.95" customHeight="1" x14ac:dyDescent="0.3">
      <c r="A51" s="155" t="s">
        <v>44</v>
      </c>
      <c r="B51" s="159"/>
      <c r="C51" s="159"/>
      <c r="D51" s="159"/>
      <c r="E51" s="160"/>
      <c r="F51" s="155" t="s">
        <v>50</v>
      </c>
      <c r="G51" s="159"/>
      <c r="H51" s="159"/>
      <c r="I51" s="159"/>
      <c r="J51" s="159"/>
      <c r="K51" s="159"/>
      <c r="L51" s="159"/>
      <c r="M51" s="160"/>
    </row>
    <row r="52" spans="1:16" ht="21.95" customHeight="1" x14ac:dyDescent="0.3">
      <c r="A52" s="228"/>
      <c r="B52" s="161"/>
      <c r="C52" s="161"/>
      <c r="D52" s="161"/>
      <c r="E52" s="162"/>
      <c r="F52" s="228"/>
      <c r="G52" s="161"/>
      <c r="H52" s="161"/>
      <c r="I52" s="161"/>
      <c r="J52" s="161"/>
      <c r="K52" s="161"/>
      <c r="L52" s="161"/>
      <c r="M52" s="162"/>
    </row>
    <row r="53" spans="1:16" ht="21.95" customHeight="1" thickBot="1" x14ac:dyDescent="0.35">
      <c r="A53" s="67" t="s">
        <v>7</v>
      </c>
      <c r="B53" s="68"/>
      <c r="C53" s="68"/>
      <c r="D53" s="68"/>
      <c r="E53" s="69"/>
      <c r="F53" s="68" t="s">
        <v>7</v>
      </c>
      <c r="G53" s="68"/>
      <c r="H53" s="68"/>
      <c r="I53" s="68"/>
      <c r="J53" s="70"/>
      <c r="K53" s="68"/>
      <c r="L53" s="68"/>
      <c r="M53" s="69"/>
    </row>
    <row r="54" spans="1:16" ht="21.95" customHeight="1" thickTop="1" x14ac:dyDescent="0.3">
      <c r="A54" s="71" t="s">
        <v>43</v>
      </c>
      <c r="B54" s="73" t="s">
        <v>4</v>
      </c>
      <c r="C54" s="73" t="s">
        <v>15</v>
      </c>
      <c r="D54" s="73" t="s">
        <v>3</v>
      </c>
      <c r="E54" s="75" t="s">
        <v>2</v>
      </c>
      <c r="F54" s="71" t="s">
        <v>43</v>
      </c>
      <c r="G54" s="77" t="s">
        <v>17</v>
      </c>
      <c r="H54" s="77" t="s">
        <v>29</v>
      </c>
      <c r="I54" s="79" t="s">
        <v>41</v>
      </c>
      <c r="J54" s="81" t="s">
        <v>42</v>
      </c>
      <c r="K54" s="83" t="s">
        <v>10</v>
      </c>
      <c r="L54" s="85" t="s">
        <v>18</v>
      </c>
      <c r="M54" s="87" t="s">
        <v>8</v>
      </c>
    </row>
    <row r="55" spans="1:16" ht="21.95" customHeight="1" x14ac:dyDescent="0.3">
      <c r="A55" s="72"/>
      <c r="B55" s="74"/>
      <c r="C55" s="74"/>
      <c r="D55" s="74"/>
      <c r="E55" s="76"/>
      <c r="F55" s="72"/>
      <c r="G55" s="78"/>
      <c r="H55" s="78"/>
      <c r="I55" s="80"/>
      <c r="J55" s="82"/>
      <c r="K55" s="84"/>
      <c r="L55" s="86"/>
      <c r="M55" s="88"/>
    </row>
    <row r="56" spans="1:16" ht="21.95" customHeight="1" x14ac:dyDescent="0.3">
      <c r="A56" s="95" t="s">
        <v>26</v>
      </c>
      <c r="B56" s="3"/>
      <c r="C56" s="3"/>
      <c r="D56" s="3"/>
      <c r="E56" s="11" t="s">
        <v>27</v>
      </c>
      <c r="F56" s="97" t="str">
        <f>A56</f>
        <v>Spurious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-36</v>
      </c>
      <c r="J56" s="105" t="str">
        <f>IF(OR(I56-H56&gt;10,I56-H56=-36),"No Peak Found",I56-H56)</f>
        <v>No Peak Found</v>
      </c>
      <c r="K56" s="89" t="s">
        <v>9</v>
      </c>
      <c r="L56" s="91" t="str">
        <f>IF(OR(COUNTIF(B56:D57, "-")+COUNTBLANK(B56:D57)=6), "Pass", IF(H56 &gt; I56, "Fail", IF(J56 &lt; 3, "Margin 부족", "Pass")))</f>
        <v>Pass</v>
      </c>
      <c r="M56" s="93" t="s">
        <v>12</v>
      </c>
    </row>
    <row r="57" spans="1:16" ht="21.95" customHeight="1" thickBot="1" x14ac:dyDescent="0.35">
      <c r="A57" s="96"/>
      <c r="B57" s="7"/>
      <c r="C57" s="7"/>
      <c r="D57" s="7"/>
      <c r="E57" s="12" t="s">
        <v>28</v>
      </c>
      <c r="F57" s="98"/>
      <c r="G57" s="100"/>
      <c r="H57" s="102"/>
      <c r="I57" s="104"/>
      <c r="J57" s="106"/>
      <c r="K57" s="90"/>
      <c r="L57" s="92"/>
      <c r="M57" s="94"/>
    </row>
    <row r="58" spans="1:16" ht="21.95" customHeight="1" thickBot="1" x14ac:dyDescent="0.35">
      <c r="A58" s="107" t="s">
        <v>30</v>
      </c>
      <c r="B58" s="108"/>
      <c r="C58" s="108"/>
      <c r="D58" s="108"/>
      <c r="E58" s="109"/>
      <c r="F58" s="108" t="s">
        <v>30</v>
      </c>
      <c r="G58" s="108"/>
      <c r="H58" s="108"/>
      <c r="I58" s="108"/>
      <c r="J58" s="70"/>
      <c r="K58" s="108"/>
      <c r="L58" s="108"/>
      <c r="M58" s="108"/>
    </row>
    <row r="59" spans="1:16" ht="21.95" customHeight="1" thickTop="1" x14ac:dyDescent="0.3">
      <c r="A59" s="71" t="s">
        <v>43</v>
      </c>
      <c r="B59" s="73" t="s">
        <v>14</v>
      </c>
      <c r="C59" s="73" t="s">
        <v>15</v>
      </c>
      <c r="D59" s="73" t="s">
        <v>16</v>
      </c>
      <c r="E59" s="75" t="s">
        <v>17</v>
      </c>
      <c r="F59" s="71" t="s">
        <v>43</v>
      </c>
      <c r="G59" s="77" t="s">
        <v>17</v>
      </c>
      <c r="H59" s="77" t="s">
        <v>29</v>
      </c>
      <c r="I59" s="79" t="s">
        <v>41</v>
      </c>
      <c r="J59" s="81" t="s">
        <v>42</v>
      </c>
      <c r="K59" s="83" t="s">
        <v>10</v>
      </c>
      <c r="L59" s="85" t="s">
        <v>18</v>
      </c>
      <c r="M59" s="87" t="s">
        <v>8</v>
      </c>
    </row>
    <row r="60" spans="1:16" ht="21.95" customHeight="1" x14ac:dyDescent="0.3">
      <c r="A60" s="72"/>
      <c r="B60" s="74"/>
      <c r="C60" s="74"/>
      <c r="D60" s="74"/>
      <c r="E60" s="76"/>
      <c r="F60" s="72"/>
      <c r="G60" s="78"/>
      <c r="H60" s="78"/>
      <c r="I60" s="80"/>
      <c r="J60" s="82"/>
      <c r="K60" s="84"/>
      <c r="L60" s="86"/>
      <c r="M60" s="88"/>
    </row>
    <row r="61" spans="1:16" ht="21.95" customHeight="1" x14ac:dyDescent="0.3">
      <c r="A61" s="110" t="s">
        <v>26</v>
      </c>
      <c r="B61" s="3"/>
      <c r="C61" s="3"/>
      <c r="D61" s="3"/>
      <c r="E61" s="11" t="s">
        <v>27</v>
      </c>
      <c r="F61" s="112" t="str">
        <f>$A$19</f>
        <v>Spurious</v>
      </c>
      <c r="G61" s="99" t="str">
        <f>IF(COUNT(B61:D61)=0, "H", IF(COUNT(B62:D62)=0, "V", IF(MAX(B61:D61) &gt;= MAX(B62:D62), "V", "H")))</f>
        <v>H</v>
      </c>
      <c r="H61" s="101">
        <f>MAX(B61:D62)</f>
        <v>0</v>
      </c>
      <c r="I61" s="103">
        <v>-30</v>
      </c>
      <c r="J61" s="105" t="str">
        <f>IF(OR(I61-H61&gt;10,I61-H61=-30),"No Peak Found",I61-H61)</f>
        <v>No Peak Found</v>
      </c>
      <c r="K61" s="89" t="s">
        <v>9</v>
      </c>
      <c r="L61" s="91" t="str">
        <f>IF(OR(COUNTIF(B61:D62, "-")+COUNTBLANK(B61:D62)=6), "Pass", IF(H61 &gt; I61, "Fail", IF(J61 &lt; 3, "Margin 부족", "Pass")))</f>
        <v>Pass</v>
      </c>
      <c r="M61" s="93" t="s">
        <v>12</v>
      </c>
    </row>
    <row r="62" spans="1:16" ht="21.95" customHeight="1" thickBot="1" x14ac:dyDescent="0.35">
      <c r="A62" s="111"/>
      <c r="B62" s="7"/>
      <c r="C62" s="7"/>
      <c r="D62" s="7"/>
      <c r="E62" s="12" t="s">
        <v>28</v>
      </c>
      <c r="F62" s="113"/>
      <c r="G62" s="114"/>
      <c r="H62" s="115"/>
      <c r="I62" s="116"/>
      <c r="J62" s="106"/>
      <c r="K62" s="117"/>
      <c r="L62" s="118"/>
      <c r="M62" s="119"/>
    </row>
    <row r="63" spans="1:16" ht="21.95" customHeight="1" thickBot="1" x14ac:dyDescent="0.35">
      <c r="A63" s="120" t="s">
        <v>31</v>
      </c>
      <c r="B63" s="121"/>
      <c r="C63" s="121"/>
      <c r="D63" s="121"/>
      <c r="E63" s="121"/>
      <c r="F63" s="122" t="s">
        <v>31</v>
      </c>
      <c r="G63" s="123"/>
      <c r="H63" s="123"/>
      <c r="I63" s="123"/>
      <c r="J63" s="70"/>
      <c r="K63" s="123"/>
      <c r="L63" s="124"/>
      <c r="M63" s="125"/>
      <c r="N63" s="8" t="s">
        <v>8</v>
      </c>
    </row>
    <row r="64" spans="1:16" ht="21.95" customHeight="1" thickTop="1" x14ac:dyDescent="0.3">
      <c r="A64" s="71" t="s">
        <v>43</v>
      </c>
      <c r="B64" s="73" t="s">
        <v>14</v>
      </c>
      <c r="C64" s="73" t="s">
        <v>15</v>
      </c>
      <c r="D64" s="73" t="s">
        <v>16</v>
      </c>
      <c r="E64" s="75" t="s">
        <v>17</v>
      </c>
      <c r="F64" s="202" t="s">
        <v>43</v>
      </c>
      <c r="G64" s="132" t="s">
        <v>17</v>
      </c>
      <c r="H64" s="132" t="s">
        <v>29</v>
      </c>
      <c r="I64" s="133" t="s">
        <v>41</v>
      </c>
      <c r="J64" s="81" t="s">
        <v>42</v>
      </c>
      <c r="K64" s="134" t="s">
        <v>10</v>
      </c>
      <c r="L64" s="136" t="s">
        <v>18</v>
      </c>
      <c r="M64" s="138" t="s">
        <v>8</v>
      </c>
      <c r="N64" s="163" t="str">
        <f>"1. Sub6 NR Band : " &amp; VALUE(RIGHT(A7, LEN(A7)-1))</f>
        <v>1. Sub6 NR Band : 38</v>
      </c>
      <c r="O64" s="164"/>
      <c r="P64" s="164"/>
    </row>
    <row r="65" spans="1:16" ht="21.95" customHeight="1" x14ac:dyDescent="0.3">
      <c r="A65" s="72"/>
      <c r="B65" s="129"/>
      <c r="C65" s="129"/>
      <c r="D65" s="129"/>
      <c r="E65" s="76"/>
      <c r="F65" s="84"/>
      <c r="G65" s="78"/>
      <c r="H65" s="78"/>
      <c r="I65" s="80"/>
      <c r="J65" s="82"/>
      <c r="K65" s="135"/>
      <c r="L65" s="137"/>
      <c r="M65" s="139"/>
      <c r="N65" s="152" t="str">
        <f>"2. SCS : " &amp; H7 &amp; " kHz"</f>
        <v>2. SCS : 30 kHz</v>
      </c>
      <c r="O65" s="153"/>
      <c r="P65" s="153"/>
    </row>
    <row r="66" spans="1:16" ht="21.95" customHeight="1" x14ac:dyDescent="0.3">
      <c r="A66" s="199">
        <f>J7*2</f>
        <v>0</v>
      </c>
      <c r="B66" s="4"/>
      <c r="C66" s="4"/>
      <c r="D66" s="4"/>
      <c r="E66" s="16" t="s">
        <v>1</v>
      </c>
      <c r="F66" s="201">
        <f>$A$24</f>
        <v>0</v>
      </c>
      <c r="G66" s="99" t="str">
        <f>IF(COUNT(B66:D66)=0, "H", IF(COUNT(B67:D67)=0, "V", IF(MAX(B66:D66) &gt;= MAX(B67:D67), "V", "H")))</f>
        <v>H</v>
      </c>
      <c r="H66" s="101">
        <f>MAX(B66:D67)</f>
        <v>0</v>
      </c>
      <c r="I66" s="103">
        <v>-30</v>
      </c>
      <c r="J66" s="143" t="str">
        <f>IF(OR(I66-H66&gt;10,I66-H66=-30),"No Peak Found",I66-H66)</f>
        <v>No Peak Found</v>
      </c>
      <c r="K66" s="144" t="s">
        <v>9</v>
      </c>
      <c r="L66" s="117" t="str">
        <f>IF(OR(COUNTIF(B66:D67, "-")+COUNTBLANK(B66:D67)=6), "Pass", IF(H66 &gt; I66, "Fail", IF(J66 &lt; 3, "Margin 부족", "Pass")))</f>
        <v>Pass</v>
      </c>
      <c r="M66" s="146" t="s">
        <v>11</v>
      </c>
      <c r="N66" s="152" t="str">
        <f>"3. The test was performed the " &amp; I7 &amp; " antenna."</f>
        <v>3. The test was performed the  antenna.</v>
      </c>
      <c r="O66" s="153"/>
      <c r="P66" s="153"/>
    </row>
    <row r="67" spans="1:16" ht="21.95" customHeight="1" x14ac:dyDescent="0.3">
      <c r="A67" s="200"/>
      <c r="B67" s="4"/>
      <c r="C67" s="4"/>
      <c r="D67" s="4"/>
      <c r="E67" s="16" t="s">
        <v>0</v>
      </c>
      <c r="F67" s="201"/>
      <c r="G67" s="99"/>
      <c r="H67" s="101"/>
      <c r="I67" s="103"/>
      <c r="J67" s="143"/>
      <c r="K67" s="144"/>
      <c r="L67" s="145"/>
      <c r="M67" s="147"/>
      <c r="N67" s="152" t="str">
        <f>"4. " &amp; LEFT(A51, FIND(" ", A51 &amp; " ") - 1) &amp; " Mode Test."</f>
        <v>4. SA Mode Test.</v>
      </c>
      <c r="O67" s="154"/>
      <c r="P67" s="154"/>
    </row>
    <row r="68" spans="1:16" ht="21.95" customHeight="1" x14ac:dyDescent="0.3">
      <c r="A68" s="199">
        <f>J7*3</f>
        <v>0</v>
      </c>
      <c r="B68" s="4"/>
      <c r="C68" s="4"/>
      <c r="D68" s="4"/>
      <c r="E68" s="16" t="s">
        <v>1</v>
      </c>
      <c r="F68" s="203">
        <f>$A$26</f>
        <v>0</v>
      </c>
      <c r="G68" s="99" t="str">
        <f>IF(COUNT(B68:D68)=0, "H", IF(COUNT(B69:D69)=0, "V", IF(MAX(B68:D68) &gt;= MAX(B69:D69), "V", "H")))</f>
        <v>H</v>
      </c>
      <c r="H68" s="101">
        <f>MAX(B68:D69)</f>
        <v>0</v>
      </c>
      <c r="I68" s="149">
        <v>-30</v>
      </c>
      <c r="J68" s="143" t="str">
        <f t="shared" ref="J68" si="3">IF(OR(I68-H68&gt;10,I68-H68=-30),"No Peak Found",I68-H68)</f>
        <v>No Peak Found</v>
      </c>
      <c r="K68" s="150" t="s">
        <v>9</v>
      </c>
      <c r="L68" s="117" t="str">
        <f>IF(OR(COUNTIF(B68:D69, "-")+COUNTBLANK(B68:D69)=6), "Pass", IF(H68 &gt; I68, "Fail", IF(J68 &lt; 3, "Margin 부족", "Pass")))</f>
        <v>Pass</v>
      </c>
      <c r="M68" s="146" t="s">
        <v>11</v>
      </c>
    </row>
    <row r="69" spans="1:16" ht="21.95" customHeight="1" x14ac:dyDescent="0.3">
      <c r="A69" s="200"/>
      <c r="B69" s="4"/>
      <c r="C69" s="4"/>
      <c r="D69" s="4"/>
      <c r="E69" s="16" t="s">
        <v>0</v>
      </c>
      <c r="F69" s="203"/>
      <c r="G69" s="99"/>
      <c r="H69" s="101"/>
      <c r="I69" s="149"/>
      <c r="J69" s="143"/>
      <c r="K69" s="150"/>
      <c r="L69" s="145"/>
      <c r="M69" s="147"/>
    </row>
    <row r="70" spans="1:16" ht="21.95" customHeight="1" x14ac:dyDescent="0.3">
      <c r="A70" s="199">
        <f>J7*4</f>
        <v>0</v>
      </c>
      <c r="B70" s="4"/>
      <c r="C70" s="4"/>
      <c r="D70" s="4"/>
      <c r="E70" s="16" t="s">
        <v>1</v>
      </c>
      <c r="F70" s="201">
        <f>$A$28</f>
        <v>0</v>
      </c>
      <c r="G70" s="99" t="str">
        <f>IF(COUNT(B70:D70)=0, "H", IF(COUNT(B71:D71)=0, "V", IF(MAX(B70:D70) &gt;= MAX(B71:D71), "V", "H")))</f>
        <v>H</v>
      </c>
      <c r="H70" s="101">
        <f>MAX(B70:D71)</f>
        <v>0</v>
      </c>
      <c r="I70" s="149">
        <v>-30</v>
      </c>
      <c r="J70" s="143" t="str">
        <f t="shared" ref="J70" si="4">IF(OR(I70-H70&gt;10,I70-H70=-30),"No Peak Found",I70-H70)</f>
        <v>No Peak Found</v>
      </c>
      <c r="K70" s="171" t="s">
        <v>9</v>
      </c>
      <c r="L70" s="117" t="str">
        <f>IF(OR(COUNTIF(B70:D71, "-")+COUNTBLANK(B70:D71)=6), "Pass", IF(H70 &gt; I70, "Fail", IF(J70 &lt; 3, "Margin 부족", "Pass")))</f>
        <v>Pass</v>
      </c>
      <c r="M70" s="146" t="s">
        <v>11</v>
      </c>
    </row>
    <row r="71" spans="1:16" ht="21.95" customHeight="1" x14ac:dyDescent="0.3">
      <c r="A71" s="200"/>
      <c r="B71" s="4"/>
      <c r="C71" s="4"/>
      <c r="D71" s="4"/>
      <c r="E71" s="16" t="s">
        <v>0</v>
      </c>
      <c r="F71" s="201"/>
      <c r="G71" s="99"/>
      <c r="H71" s="101"/>
      <c r="I71" s="149"/>
      <c r="J71" s="143"/>
      <c r="K71" s="171"/>
      <c r="L71" s="145"/>
      <c r="M71" s="147"/>
    </row>
    <row r="72" spans="1:16" ht="21.95" customHeight="1" x14ac:dyDescent="0.3">
      <c r="A72" s="199">
        <f>J7*5</f>
        <v>0</v>
      </c>
      <c r="B72" s="4"/>
      <c r="C72" s="4"/>
      <c r="D72" s="4"/>
      <c r="E72" s="16" t="s">
        <v>1</v>
      </c>
      <c r="F72" s="203">
        <f>$A$30</f>
        <v>0</v>
      </c>
      <c r="G72" s="99" t="str">
        <f>IF(COUNT(B72:D72)=0, "H", IF(COUNT(B73:D73)=0, "V", IF(MAX(B72:D72) &gt;= MAX(B73:D73), "V", "H")))</f>
        <v>H</v>
      </c>
      <c r="H72" s="101">
        <f>MAX(B72:D73)</f>
        <v>0</v>
      </c>
      <c r="I72" s="149">
        <v>-30</v>
      </c>
      <c r="J72" s="143" t="str">
        <f t="shared" ref="J72" si="5">IF(OR(I72-H72&gt;10,I72-H72=-30),"No Peak Found",I72-H72)</f>
        <v>No Peak Found</v>
      </c>
      <c r="K72" s="171" t="s">
        <v>9</v>
      </c>
      <c r="L72" s="117" t="str">
        <f>IF(OR(COUNTIF(B72:D73, "-")+COUNTBLANK(B72:D73)=6), "Pass", IF(H72 &gt; I72, "Fail", IF(J72 &lt; 3, "Margin 부족", "Pass")))</f>
        <v>Pass</v>
      </c>
      <c r="M72" s="146" t="s">
        <v>11</v>
      </c>
    </row>
    <row r="73" spans="1:16" ht="21.95" customHeight="1" thickBot="1" x14ac:dyDescent="0.35">
      <c r="A73" s="204"/>
      <c r="B73" s="17"/>
      <c r="C73" s="17"/>
      <c r="D73" s="17"/>
      <c r="E73" s="18" t="s">
        <v>28</v>
      </c>
      <c r="F73" s="205"/>
      <c r="G73" s="167"/>
      <c r="H73" s="168"/>
      <c r="I73" s="169"/>
      <c r="J73" s="170"/>
      <c r="K73" s="172"/>
      <c r="L73" s="173"/>
      <c r="M73" s="151"/>
    </row>
    <row r="74" spans="1:16" ht="21.95" customHeight="1" x14ac:dyDescent="0.3">
      <c r="A74" s="155" t="s">
        <v>45</v>
      </c>
      <c r="B74" s="156"/>
      <c r="C74" s="156"/>
      <c r="D74" s="156"/>
      <c r="E74" s="157"/>
      <c r="F74" s="159" t="s">
        <v>51</v>
      </c>
      <c r="G74" s="159"/>
      <c r="H74" s="159"/>
      <c r="I74" s="159"/>
      <c r="J74" s="159"/>
      <c r="K74" s="159"/>
      <c r="L74" s="159"/>
      <c r="M74" s="160"/>
    </row>
    <row r="75" spans="1:16" ht="21.95" customHeight="1" x14ac:dyDescent="0.3">
      <c r="A75" s="158"/>
      <c r="B75" s="156"/>
      <c r="C75" s="156"/>
      <c r="D75" s="156"/>
      <c r="E75" s="157"/>
      <c r="F75" s="161"/>
      <c r="G75" s="161"/>
      <c r="H75" s="161"/>
      <c r="I75" s="161"/>
      <c r="J75" s="161"/>
      <c r="K75" s="161"/>
      <c r="L75" s="161"/>
      <c r="M75" s="162"/>
    </row>
    <row r="76" spans="1:16" ht="21.95" customHeight="1" thickBot="1" x14ac:dyDescent="0.35">
      <c r="A76" s="174" t="s">
        <v>6</v>
      </c>
      <c r="B76" s="175"/>
      <c r="C76" s="175"/>
      <c r="D76" s="175"/>
      <c r="E76" s="176"/>
      <c r="F76" s="177" t="s">
        <v>6</v>
      </c>
      <c r="G76" s="177"/>
      <c r="H76" s="177"/>
      <c r="I76" s="177"/>
      <c r="J76" s="177"/>
      <c r="K76" s="177"/>
      <c r="L76" s="177"/>
      <c r="M76" s="177"/>
    </row>
    <row r="77" spans="1:16" ht="21.95" customHeight="1" thickTop="1" x14ac:dyDescent="0.3">
      <c r="A77" s="71" t="s">
        <v>43</v>
      </c>
      <c r="B77" s="73" t="s">
        <v>14</v>
      </c>
      <c r="C77" s="73" t="s">
        <v>15</v>
      </c>
      <c r="D77" s="73" t="s">
        <v>16</v>
      </c>
      <c r="E77" s="75" t="s">
        <v>17</v>
      </c>
      <c r="F77" s="71" t="s">
        <v>43</v>
      </c>
      <c r="G77" s="77" t="s">
        <v>17</v>
      </c>
      <c r="H77" s="77" t="s">
        <v>29</v>
      </c>
      <c r="I77" s="79" t="s">
        <v>41</v>
      </c>
      <c r="J77" s="81" t="s">
        <v>42</v>
      </c>
      <c r="K77" s="187" t="s">
        <v>10</v>
      </c>
      <c r="L77" s="85" t="s">
        <v>18</v>
      </c>
      <c r="M77" s="87" t="s">
        <v>8</v>
      </c>
    </row>
    <row r="78" spans="1:16" ht="21.95" customHeight="1" x14ac:dyDescent="0.3">
      <c r="A78" s="72"/>
      <c r="B78" s="74"/>
      <c r="C78" s="74"/>
      <c r="D78" s="74"/>
      <c r="E78" s="76"/>
      <c r="F78" s="72"/>
      <c r="G78" s="78"/>
      <c r="H78" s="78"/>
      <c r="I78" s="80"/>
      <c r="J78" s="82"/>
      <c r="K78" s="188"/>
      <c r="L78" s="86"/>
      <c r="M78" s="88"/>
    </row>
    <row r="79" spans="1:16" ht="21.95" customHeight="1" x14ac:dyDescent="0.3">
      <c r="A79" s="189" t="s">
        <v>26</v>
      </c>
      <c r="B79" s="10"/>
      <c r="C79" s="1"/>
      <c r="D79" s="1"/>
      <c r="E79" s="11" t="s">
        <v>27</v>
      </c>
      <c r="F79" s="191" t="str">
        <f>A79</f>
        <v>Spurious</v>
      </c>
      <c r="G79" s="193" t="str">
        <f>IF(COUNT(B79:D79)=0, "H", IF(COUNT(B80:D80)=0, "V", IF(MAX(B79:D79) &gt;= MAX(B80:D80), "V", "H")))</f>
        <v>H</v>
      </c>
      <c r="H79" s="195">
        <f>MAX(B79:D80)</f>
        <v>0</v>
      </c>
      <c r="I79" s="197">
        <v>-57</v>
      </c>
      <c r="J79" s="178" t="str">
        <f>IF(OR(I79-H79&gt;10,I79-H79=-57),"No Peak Found",I79-H79)</f>
        <v>No Peak Found</v>
      </c>
      <c r="K79" s="180" t="s">
        <v>9</v>
      </c>
      <c r="L79" s="91" t="str">
        <f>IF(OR(COUNTIF(B79:D80, "-")+COUNTBLANK(B79:D80)=6), "Pass", IF(H79 &gt; I79, "Fail", IF(J79 &lt; 3, "Margin 부족", "Pass")))</f>
        <v>Pass</v>
      </c>
      <c r="M79" s="182" t="s">
        <v>12</v>
      </c>
    </row>
    <row r="80" spans="1:16" ht="21.95" customHeight="1" thickBot="1" x14ac:dyDescent="0.35">
      <c r="A80" s="190"/>
      <c r="B80" s="2"/>
      <c r="C80" s="2"/>
      <c r="D80" s="2"/>
      <c r="E80" s="12" t="s">
        <v>28</v>
      </c>
      <c r="F80" s="192"/>
      <c r="G80" s="194"/>
      <c r="H80" s="196"/>
      <c r="I80" s="198"/>
      <c r="J80" s="179"/>
      <c r="K80" s="181"/>
      <c r="L80" s="92"/>
      <c r="M80" s="183"/>
    </row>
    <row r="81" spans="1:13" ht="21.95" customHeight="1" thickBot="1" x14ac:dyDescent="0.35">
      <c r="A81" s="184" t="s">
        <v>33</v>
      </c>
      <c r="B81" s="185"/>
      <c r="C81" s="185"/>
      <c r="D81" s="185"/>
      <c r="E81" s="186"/>
      <c r="F81" s="70" t="s">
        <v>33</v>
      </c>
      <c r="G81" s="70"/>
      <c r="H81" s="70"/>
      <c r="I81" s="70"/>
      <c r="J81" s="70"/>
      <c r="K81" s="70"/>
      <c r="L81" s="70"/>
      <c r="M81" s="70"/>
    </row>
    <row r="82" spans="1:13" ht="21.95" customHeight="1" thickTop="1" x14ac:dyDescent="0.3">
      <c r="A82" s="71" t="s">
        <v>43</v>
      </c>
      <c r="B82" s="73" t="s">
        <v>14</v>
      </c>
      <c r="C82" s="73" t="s">
        <v>15</v>
      </c>
      <c r="D82" s="73" t="s">
        <v>16</v>
      </c>
      <c r="E82" s="75" t="s">
        <v>17</v>
      </c>
      <c r="F82" s="71" t="s">
        <v>43</v>
      </c>
      <c r="G82" s="77" t="s">
        <v>17</v>
      </c>
      <c r="H82" s="77" t="s">
        <v>29</v>
      </c>
      <c r="I82" s="79" t="s">
        <v>41</v>
      </c>
      <c r="J82" s="81" t="s">
        <v>42</v>
      </c>
      <c r="K82" s="187" t="s">
        <v>10</v>
      </c>
      <c r="L82" s="85" t="s">
        <v>18</v>
      </c>
      <c r="M82" s="87" t="s">
        <v>8</v>
      </c>
    </row>
    <row r="83" spans="1:13" ht="21.95" customHeight="1" x14ac:dyDescent="0.3">
      <c r="A83" s="72"/>
      <c r="B83" s="74"/>
      <c r="C83" s="74"/>
      <c r="D83" s="74"/>
      <c r="E83" s="76"/>
      <c r="F83" s="72"/>
      <c r="G83" s="78"/>
      <c r="H83" s="78"/>
      <c r="I83" s="80"/>
      <c r="J83" s="82"/>
      <c r="K83" s="188"/>
      <c r="L83" s="86"/>
      <c r="M83" s="88"/>
    </row>
    <row r="84" spans="1:13" ht="21.95" customHeight="1" x14ac:dyDescent="0.3">
      <c r="A84" s="189" t="s">
        <v>26</v>
      </c>
      <c r="B84" s="10"/>
      <c r="C84" s="1"/>
      <c r="D84" s="1"/>
      <c r="E84" s="11" t="s">
        <v>27</v>
      </c>
      <c r="F84" s="191" t="str">
        <f>A84</f>
        <v>Spurious</v>
      </c>
      <c r="G84" s="193" t="str">
        <f>IF(COUNT(B84:D84)=0, "H", IF(COUNT(B85:D85)=0, "V", IF(MAX(B84:D84) &gt;= MAX(B85:D85), "V", "H")))</f>
        <v>H</v>
      </c>
      <c r="H84" s="195">
        <f>MAX(B84:D85)</f>
        <v>0</v>
      </c>
      <c r="I84" s="197">
        <v>-47</v>
      </c>
      <c r="J84" s="178" t="str">
        <f>IF(OR(I84-H84&gt;10,I84-H84=-47),"No Peak Found",I84-H84)</f>
        <v>No Peak Found</v>
      </c>
      <c r="K84" s="180" t="s">
        <v>9</v>
      </c>
      <c r="L84" s="91" t="str">
        <f>IF(OR(COUNTIF(B84:D85, "-")+COUNTBLANK(B84:D85)=6), "Pass", IF(H84 &gt; I84, "Fail", IF(J84 &lt; 3, "Margin 부족", "Pass")))</f>
        <v>Pass</v>
      </c>
      <c r="M84" s="182" t="s">
        <v>12</v>
      </c>
    </row>
    <row r="85" spans="1:13" ht="21.95" customHeight="1" thickBot="1" x14ac:dyDescent="0.35">
      <c r="A85" s="190"/>
      <c r="B85" s="2"/>
      <c r="C85" s="2"/>
      <c r="D85" s="2"/>
      <c r="E85" s="12" t="s">
        <v>28</v>
      </c>
      <c r="F85" s="192"/>
      <c r="G85" s="194"/>
      <c r="H85" s="196"/>
      <c r="I85" s="198"/>
      <c r="J85" s="179"/>
      <c r="K85" s="181"/>
      <c r="L85" s="92"/>
      <c r="M85" s="183"/>
    </row>
  </sheetData>
  <mergeCells count="357">
    <mergeCell ref="J84:J85"/>
    <mergeCell ref="K84:K85"/>
    <mergeCell ref="L84:L85"/>
    <mergeCell ref="M84:M85"/>
    <mergeCell ref="I82:I83"/>
    <mergeCell ref="J82:J83"/>
    <mergeCell ref="K82:K83"/>
    <mergeCell ref="L82:L83"/>
    <mergeCell ref="M82:M83"/>
    <mergeCell ref="A84:A85"/>
    <mergeCell ref="F84:F85"/>
    <mergeCell ref="G84:G85"/>
    <mergeCell ref="H84:H85"/>
    <mergeCell ref="I84:I85"/>
    <mergeCell ref="A81:E81"/>
    <mergeCell ref="F81:M81"/>
    <mergeCell ref="A82:A83"/>
    <mergeCell ref="B82:B83"/>
    <mergeCell ref="C82:C83"/>
    <mergeCell ref="D82:D83"/>
    <mergeCell ref="E82:E83"/>
    <mergeCell ref="F82:F83"/>
    <mergeCell ref="G82:G83"/>
    <mergeCell ref="H82:H83"/>
    <mergeCell ref="M77:M78"/>
    <mergeCell ref="A79:A80"/>
    <mergeCell ref="F79:F80"/>
    <mergeCell ref="G79:G80"/>
    <mergeCell ref="H79:H80"/>
    <mergeCell ref="I79:I80"/>
    <mergeCell ref="J79:J80"/>
    <mergeCell ref="K79:K80"/>
    <mergeCell ref="L79:L80"/>
    <mergeCell ref="M79:M80"/>
    <mergeCell ref="G77:G78"/>
    <mergeCell ref="H77:H78"/>
    <mergeCell ref="I77:I78"/>
    <mergeCell ref="J77:J78"/>
    <mergeCell ref="K77:K78"/>
    <mergeCell ref="L77:L78"/>
    <mergeCell ref="A77:A78"/>
    <mergeCell ref="B77:B78"/>
    <mergeCell ref="C77:C78"/>
    <mergeCell ref="D77:D78"/>
    <mergeCell ref="E77:E78"/>
    <mergeCell ref="F77:F78"/>
    <mergeCell ref="L72:L73"/>
    <mergeCell ref="M72:M73"/>
    <mergeCell ref="A74:E75"/>
    <mergeCell ref="F74:M75"/>
    <mergeCell ref="A76:E76"/>
    <mergeCell ref="F76:M76"/>
    <mergeCell ref="K70:K71"/>
    <mergeCell ref="L70:L71"/>
    <mergeCell ref="M70:M71"/>
    <mergeCell ref="A72:A73"/>
    <mergeCell ref="F72:F73"/>
    <mergeCell ref="G72:G73"/>
    <mergeCell ref="H72:H73"/>
    <mergeCell ref="I72:I73"/>
    <mergeCell ref="J72:J73"/>
    <mergeCell ref="K72:K73"/>
    <mergeCell ref="J68:J69"/>
    <mergeCell ref="K68:K69"/>
    <mergeCell ref="L68:L69"/>
    <mergeCell ref="M68:M69"/>
    <mergeCell ref="A70:A71"/>
    <mergeCell ref="F70:F71"/>
    <mergeCell ref="G70:G71"/>
    <mergeCell ref="H70:H71"/>
    <mergeCell ref="I70:I71"/>
    <mergeCell ref="J70:J71"/>
    <mergeCell ref="K66:K67"/>
    <mergeCell ref="L66:L67"/>
    <mergeCell ref="M66:M67"/>
    <mergeCell ref="N66:P66"/>
    <mergeCell ref="N67:P67"/>
    <mergeCell ref="A68:A69"/>
    <mergeCell ref="F68:F69"/>
    <mergeCell ref="G68:G69"/>
    <mergeCell ref="H68:H69"/>
    <mergeCell ref="I68:I69"/>
    <mergeCell ref="L64:L65"/>
    <mergeCell ref="M64:M65"/>
    <mergeCell ref="N64:P64"/>
    <mergeCell ref="N65:P65"/>
    <mergeCell ref="A66:A67"/>
    <mergeCell ref="F66:F67"/>
    <mergeCell ref="G66:G67"/>
    <mergeCell ref="H66:H67"/>
    <mergeCell ref="I66:I67"/>
    <mergeCell ref="J66:J67"/>
    <mergeCell ref="F64:F65"/>
    <mergeCell ref="G64:G65"/>
    <mergeCell ref="H64:H65"/>
    <mergeCell ref="I64:I65"/>
    <mergeCell ref="J64:J65"/>
    <mergeCell ref="K64:K65"/>
    <mergeCell ref="K61:K62"/>
    <mergeCell ref="L61:L62"/>
    <mergeCell ref="M61:M62"/>
    <mergeCell ref="A63:E63"/>
    <mergeCell ref="F63:M63"/>
    <mergeCell ref="A64:A65"/>
    <mergeCell ref="B64:B65"/>
    <mergeCell ref="C64:C65"/>
    <mergeCell ref="D64:D65"/>
    <mergeCell ref="E64:E65"/>
    <mergeCell ref="A61:A62"/>
    <mergeCell ref="F61:F62"/>
    <mergeCell ref="G61:G62"/>
    <mergeCell ref="H61:H62"/>
    <mergeCell ref="I61:I62"/>
    <mergeCell ref="J61:J62"/>
    <mergeCell ref="H59:H60"/>
    <mergeCell ref="I59:I60"/>
    <mergeCell ref="J59:J60"/>
    <mergeCell ref="K59:K60"/>
    <mergeCell ref="L59:L60"/>
    <mergeCell ref="M59:M60"/>
    <mergeCell ref="M56:M57"/>
    <mergeCell ref="A58:E58"/>
    <mergeCell ref="F58:M58"/>
    <mergeCell ref="A59:A60"/>
    <mergeCell ref="B59:B60"/>
    <mergeCell ref="C59:C60"/>
    <mergeCell ref="D59:D60"/>
    <mergeCell ref="E59:E60"/>
    <mergeCell ref="F59:F60"/>
    <mergeCell ref="G59:G60"/>
    <mergeCell ref="L54:L55"/>
    <mergeCell ref="M54:M55"/>
    <mergeCell ref="A56:A57"/>
    <mergeCell ref="F56:F57"/>
    <mergeCell ref="G56:G57"/>
    <mergeCell ref="H56:H57"/>
    <mergeCell ref="I56:I57"/>
    <mergeCell ref="J56:J57"/>
    <mergeCell ref="K56:K57"/>
    <mergeCell ref="L56:L57"/>
    <mergeCell ref="F54:F55"/>
    <mergeCell ref="G54:G55"/>
    <mergeCell ref="H54:H55"/>
    <mergeCell ref="I54:I55"/>
    <mergeCell ref="J54:J55"/>
    <mergeCell ref="K54:K55"/>
    <mergeCell ref="J49:M50"/>
    <mergeCell ref="A51:E52"/>
    <mergeCell ref="F51:M52"/>
    <mergeCell ref="A53:E53"/>
    <mergeCell ref="F53:M53"/>
    <mergeCell ref="A54:A55"/>
    <mergeCell ref="B54:B55"/>
    <mergeCell ref="C54:C55"/>
    <mergeCell ref="D54:D55"/>
    <mergeCell ref="E54:E55"/>
    <mergeCell ref="J47:M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45:M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M40:M41"/>
    <mergeCell ref="A42:A43"/>
    <mergeCell ref="F42:F43"/>
    <mergeCell ref="G42:G43"/>
    <mergeCell ref="H42:H43"/>
    <mergeCell ref="I42:I43"/>
    <mergeCell ref="J42:J43"/>
    <mergeCell ref="K42:K43"/>
    <mergeCell ref="L42:L43"/>
    <mergeCell ref="M42:M43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J37:J38"/>
    <mergeCell ref="K37:K38"/>
    <mergeCell ref="L37:L38"/>
    <mergeCell ref="M37:M38"/>
    <mergeCell ref="A39:E39"/>
    <mergeCell ref="F39:M39"/>
    <mergeCell ref="I35:I36"/>
    <mergeCell ref="J35:J36"/>
    <mergeCell ref="K35:K36"/>
    <mergeCell ref="L35:L36"/>
    <mergeCell ref="M35:M36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K30:K31"/>
    <mergeCell ref="L30:L31"/>
    <mergeCell ref="M30:M31"/>
    <mergeCell ref="N30:P30"/>
    <mergeCell ref="N31:P31"/>
    <mergeCell ref="A32:E33"/>
    <mergeCell ref="F32:M33"/>
    <mergeCell ref="L28:L29"/>
    <mergeCell ref="M28:M29"/>
    <mergeCell ref="N28:P28"/>
    <mergeCell ref="N29:P29"/>
    <mergeCell ref="A30:A31"/>
    <mergeCell ref="F30:F31"/>
    <mergeCell ref="G30:G31"/>
    <mergeCell ref="H30:H31"/>
    <mergeCell ref="I30:I31"/>
    <mergeCell ref="J30:J31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J24:J25"/>
    <mergeCell ref="K24:K25"/>
    <mergeCell ref="L24:L25"/>
    <mergeCell ref="M24:M25"/>
    <mergeCell ref="A26:A27"/>
    <mergeCell ref="F26:F27"/>
    <mergeCell ref="G26:G27"/>
    <mergeCell ref="H26:H27"/>
    <mergeCell ref="I26:I27"/>
    <mergeCell ref="J26:J27"/>
    <mergeCell ref="I22:I23"/>
    <mergeCell ref="J22:J23"/>
    <mergeCell ref="K22:K23"/>
    <mergeCell ref="L22:L23"/>
    <mergeCell ref="M22:M23"/>
    <mergeCell ref="A24:A25"/>
    <mergeCell ref="F24:F25"/>
    <mergeCell ref="G24:G25"/>
    <mergeCell ref="H24:H25"/>
    <mergeCell ref="I24:I25"/>
    <mergeCell ref="A21:E21"/>
    <mergeCell ref="F21:M21"/>
    <mergeCell ref="A22:A23"/>
    <mergeCell ref="B22:B23"/>
    <mergeCell ref="C22:C23"/>
    <mergeCell ref="D22:D23"/>
    <mergeCell ref="E22:E23"/>
    <mergeCell ref="F22:F23"/>
    <mergeCell ref="G22:G23"/>
    <mergeCell ref="H22:H23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</mergeCells>
  <phoneticPr fontId="1" type="noConversion"/>
  <conditionalFormatting sqref="J14 J19">
    <cfRule type="cellIs" dxfId="232" priority="45" operator="lessThan">
      <formula>10</formula>
    </cfRule>
  </conditionalFormatting>
  <conditionalFormatting sqref="J14">
    <cfRule type="cellIs" dxfId="231" priority="44" operator="equal">
      <formula>-36</formula>
    </cfRule>
  </conditionalFormatting>
  <conditionalFormatting sqref="L14 L19">
    <cfRule type="cellIs" dxfId="230" priority="43" operator="equal">
      <formula>"Fail"</formula>
    </cfRule>
  </conditionalFormatting>
  <conditionalFormatting sqref="J24">
    <cfRule type="cellIs" dxfId="229" priority="41" operator="equal">
      <formula>-30</formula>
    </cfRule>
    <cfRule type="cellIs" dxfId="228" priority="42" operator="lessThan">
      <formula>10</formula>
    </cfRule>
  </conditionalFormatting>
  <conditionalFormatting sqref="L24">
    <cfRule type="cellIs" dxfId="227" priority="40" operator="equal">
      <formula>"Fail"</formula>
    </cfRule>
  </conditionalFormatting>
  <conditionalFormatting sqref="L26">
    <cfRule type="cellIs" dxfId="226" priority="39" operator="equal">
      <formula>"Fail"</formula>
    </cfRule>
  </conditionalFormatting>
  <conditionalFormatting sqref="L28">
    <cfRule type="cellIs" dxfId="225" priority="38" operator="equal">
      <formula>"Fail"</formula>
    </cfRule>
  </conditionalFormatting>
  <conditionalFormatting sqref="L30">
    <cfRule type="cellIs" dxfId="224" priority="37" operator="equal">
      <formula>"Fail"</formula>
    </cfRule>
  </conditionalFormatting>
  <conditionalFormatting sqref="V33">
    <cfRule type="cellIs" dxfId="223" priority="36" operator="equal">
      <formula>"Fail"</formula>
    </cfRule>
  </conditionalFormatting>
  <conditionalFormatting sqref="L14:L15 L19:L20 L24:L31">
    <cfRule type="cellIs" dxfId="222" priority="35" operator="equal">
      <formula>"Pass"</formula>
    </cfRule>
  </conditionalFormatting>
  <conditionalFormatting sqref="L37">
    <cfRule type="cellIs" dxfId="221" priority="34" operator="equal">
      <formula>"Fail"</formula>
    </cfRule>
  </conditionalFormatting>
  <conditionalFormatting sqref="L37:L38">
    <cfRule type="cellIs" dxfId="220" priority="33" operator="equal">
      <formula>"Pass"</formula>
    </cfRule>
  </conditionalFormatting>
  <conditionalFormatting sqref="L42">
    <cfRule type="cellIs" dxfId="219" priority="32" operator="equal">
      <formula>"Fail"</formula>
    </cfRule>
  </conditionalFormatting>
  <conditionalFormatting sqref="L42:L43">
    <cfRule type="cellIs" dxfId="218" priority="31" operator="equal">
      <formula>"Pass"</formula>
    </cfRule>
  </conditionalFormatting>
  <conditionalFormatting sqref="B14:D15">
    <cfRule type="top10" dxfId="217" priority="30" rank="1"/>
  </conditionalFormatting>
  <conditionalFormatting sqref="B19:D20">
    <cfRule type="top10" dxfId="216" priority="29" rank="1"/>
  </conditionalFormatting>
  <conditionalFormatting sqref="B24:D25">
    <cfRule type="top10" dxfId="215" priority="28" rank="1"/>
  </conditionalFormatting>
  <conditionalFormatting sqref="B26:D27">
    <cfRule type="top10" dxfId="214" priority="27" rank="1"/>
  </conditionalFormatting>
  <conditionalFormatting sqref="B28:D29">
    <cfRule type="top10" dxfId="213" priority="26" rank="1"/>
  </conditionalFormatting>
  <conditionalFormatting sqref="B30:D31">
    <cfRule type="top10" dxfId="212" priority="25" rank="1"/>
  </conditionalFormatting>
  <conditionalFormatting sqref="J26 J28 J30">
    <cfRule type="cellIs" dxfId="211" priority="23" operator="equal">
      <formula>-30</formula>
    </cfRule>
    <cfRule type="cellIs" dxfId="210" priority="24" operator="lessThan">
      <formula>10</formula>
    </cfRule>
  </conditionalFormatting>
  <conditionalFormatting sqref="J56 J61">
    <cfRule type="cellIs" dxfId="209" priority="22" operator="lessThan">
      <formula>10</formula>
    </cfRule>
  </conditionalFormatting>
  <conditionalFormatting sqref="J56">
    <cfRule type="cellIs" dxfId="208" priority="21" operator="equal">
      <formula>-36</formula>
    </cfRule>
  </conditionalFormatting>
  <conditionalFormatting sqref="L56 L61">
    <cfRule type="cellIs" dxfId="207" priority="20" operator="equal">
      <formula>"Fail"</formula>
    </cfRule>
  </conditionalFormatting>
  <conditionalFormatting sqref="J66">
    <cfRule type="cellIs" dxfId="206" priority="18" operator="equal">
      <formula>-30</formula>
    </cfRule>
    <cfRule type="cellIs" dxfId="205" priority="19" operator="lessThan">
      <formula>10</formula>
    </cfRule>
  </conditionalFormatting>
  <conditionalFormatting sqref="L66">
    <cfRule type="cellIs" dxfId="204" priority="17" operator="equal">
      <formula>"Fail"</formula>
    </cfRule>
  </conditionalFormatting>
  <conditionalFormatting sqref="L68">
    <cfRule type="cellIs" dxfId="203" priority="16" operator="equal">
      <formula>"Fail"</formula>
    </cfRule>
  </conditionalFormatting>
  <conditionalFormatting sqref="L70">
    <cfRule type="cellIs" dxfId="202" priority="15" operator="equal">
      <formula>"Fail"</formula>
    </cfRule>
  </conditionalFormatting>
  <conditionalFormatting sqref="L72">
    <cfRule type="cellIs" dxfId="201" priority="14" operator="equal">
      <formula>"Fail"</formula>
    </cfRule>
  </conditionalFormatting>
  <conditionalFormatting sqref="L56:L57 L61:L62 L66:L73">
    <cfRule type="cellIs" dxfId="200" priority="13" operator="equal">
      <formula>"Pass"</formula>
    </cfRule>
  </conditionalFormatting>
  <conditionalFormatting sqref="L79">
    <cfRule type="cellIs" dxfId="199" priority="12" operator="equal">
      <formula>"Fail"</formula>
    </cfRule>
  </conditionalFormatting>
  <conditionalFormatting sqref="L79:L80">
    <cfRule type="cellIs" dxfId="198" priority="11" operator="equal">
      <formula>"Pass"</formula>
    </cfRule>
  </conditionalFormatting>
  <conditionalFormatting sqref="L84">
    <cfRule type="cellIs" dxfId="197" priority="10" operator="equal">
      <formula>"Fail"</formula>
    </cfRule>
  </conditionalFormatting>
  <conditionalFormatting sqref="L84:L85">
    <cfRule type="cellIs" dxfId="196" priority="9" operator="equal">
      <formula>"Pass"</formula>
    </cfRule>
  </conditionalFormatting>
  <conditionalFormatting sqref="B56:D57">
    <cfRule type="top10" dxfId="195" priority="8" rank="1"/>
  </conditionalFormatting>
  <conditionalFormatting sqref="B61:D62">
    <cfRule type="top10" dxfId="194" priority="7" rank="1"/>
  </conditionalFormatting>
  <conditionalFormatting sqref="B66:D73">
    <cfRule type="top10" dxfId="193" priority="6" rank="1"/>
  </conditionalFormatting>
  <conditionalFormatting sqref="B68:D69">
    <cfRule type="top10" dxfId="192" priority="5" rank="1"/>
  </conditionalFormatting>
  <conditionalFormatting sqref="B70:D71">
    <cfRule type="top10" dxfId="191" priority="4" rank="1"/>
  </conditionalFormatting>
  <conditionalFormatting sqref="B72:D73">
    <cfRule type="top10" dxfId="190" priority="3" rank="1"/>
  </conditionalFormatting>
  <conditionalFormatting sqref="J68 J70 J72">
    <cfRule type="cellIs" dxfId="189" priority="1" operator="equal">
      <formula>-30</formula>
    </cfRule>
    <cfRule type="cellIs" dxfId="188" priority="2" operator="lessThan">
      <formula>10</formula>
    </cfRule>
  </conditionalFormatting>
  <dataValidations count="1">
    <dataValidation type="list" allowBlank="1" showInputMessage="1" showErrorMessage="1" sqref="M14 M19 M30 M24 M26 M28 M37:M38 M56 M61 M72 M66 M68 M70 M84:M85 M79:M80 M42:M43" xr:uid="{7B7C8BFE-EF42-473D-A5C4-101C1C1B95FC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84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C5A6-F018-43B5-8A14-93F71DA91109}">
  <dimension ref="A1:P85"/>
  <sheetViews>
    <sheetView view="pageBreakPreview" zoomScale="85" zoomScaleNormal="100" zoomScaleSheetLayoutView="85" workbookViewId="0">
      <selection activeCell="F51" sqref="F51:M52"/>
    </sheetView>
  </sheetViews>
  <sheetFormatPr defaultRowHeight="16.5" outlineLevelCol="1" x14ac:dyDescent="0.3"/>
  <cols>
    <col min="1" max="11" width="12.625" style="6" customWidth="1"/>
    <col min="12" max="13" width="12.625" style="6" hidden="1" customWidth="1" outlineLevel="1"/>
    <col min="14" max="14" width="12.625" style="6" customWidth="1" collapsed="1"/>
    <col min="15" max="16" width="12.625" style="6" customWidth="1"/>
    <col min="17" max="22" width="12.625" customWidth="1"/>
  </cols>
  <sheetData>
    <row r="1" spans="1:13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3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46</v>
      </c>
      <c r="H2" s="28"/>
      <c r="I2" s="28"/>
      <c r="J2" s="28"/>
      <c r="K2" s="28"/>
      <c r="L2" s="28"/>
      <c r="M2" s="29"/>
    </row>
    <row r="3" spans="1:13" ht="24.95" customHeight="1" x14ac:dyDescent="0.3">
      <c r="A3" s="30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3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3" ht="20.100000000000001" customHeight="1" x14ac:dyDescent="0.3">
      <c r="A7" s="62" t="s">
        <v>73</v>
      </c>
      <c r="B7" s="36"/>
      <c r="C7" s="64"/>
      <c r="D7" s="36"/>
      <c r="E7" s="36"/>
      <c r="F7" s="36"/>
      <c r="G7" s="36"/>
      <c r="H7" s="37">
        <v>30</v>
      </c>
      <c r="I7" s="37"/>
      <c r="J7" s="39"/>
      <c r="K7" s="40"/>
      <c r="L7" s="40"/>
      <c r="M7" s="41"/>
    </row>
    <row r="8" spans="1:13" ht="20.100000000000001" customHeight="1" thickBot="1" x14ac:dyDescent="0.35">
      <c r="A8" s="63"/>
      <c r="B8" s="37"/>
      <c r="C8" s="65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3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3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</row>
    <row r="11" spans="1:13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3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85" t="s">
        <v>18</v>
      </c>
      <c r="M12" s="87" t="s">
        <v>8</v>
      </c>
    </row>
    <row r="13" spans="1:13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86"/>
      <c r="M13" s="88"/>
    </row>
    <row r="14" spans="1:13" ht="21.95" customHeight="1" x14ac:dyDescent="0.3">
      <c r="A14" s="95" t="s">
        <v>26</v>
      </c>
      <c r="B14" s="3"/>
      <c r="C14" s="3"/>
      <c r="D14" s="3"/>
      <c r="E14" s="11" t="s">
        <v>27</v>
      </c>
      <c r="F14" s="97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91" t="str">
        <f>IF(OR(COUNTIF(B14:D15, "-")+COUNTBLANK(B14:D15)=6), "Pass", IF(H14 &gt; I14, "Fail", IF(J14 &lt; 3, "Margin 부족", "Pass")))</f>
        <v>Pass</v>
      </c>
      <c r="M14" s="93" t="s">
        <v>12</v>
      </c>
    </row>
    <row r="15" spans="1:13" ht="21.95" customHeight="1" thickBot="1" x14ac:dyDescent="0.35">
      <c r="A15" s="96"/>
      <c r="B15" s="7"/>
      <c r="C15" s="7"/>
      <c r="D15" s="7"/>
      <c r="E15" s="12" t="s">
        <v>28</v>
      </c>
      <c r="F15" s="98"/>
      <c r="G15" s="100"/>
      <c r="H15" s="102"/>
      <c r="I15" s="104"/>
      <c r="J15" s="106"/>
      <c r="K15" s="90"/>
      <c r="L15" s="92"/>
      <c r="M15" s="94"/>
    </row>
    <row r="16" spans="1:13" ht="21.95" customHeight="1" thickBot="1" x14ac:dyDescent="0.35">
      <c r="A16" s="107" t="s">
        <v>30</v>
      </c>
      <c r="B16" s="108"/>
      <c r="C16" s="108"/>
      <c r="D16" s="108"/>
      <c r="E16" s="109"/>
      <c r="F16" s="108" t="s">
        <v>30</v>
      </c>
      <c r="G16" s="108"/>
      <c r="H16" s="108"/>
      <c r="I16" s="108"/>
      <c r="J16" s="70"/>
      <c r="K16" s="108"/>
      <c r="L16" s="108"/>
      <c r="M16" s="108"/>
    </row>
    <row r="17" spans="1:16" ht="21.95" customHeight="1" thickTop="1" x14ac:dyDescent="0.3">
      <c r="A17" s="71" t="s">
        <v>43</v>
      </c>
      <c r="B17" s="73" t="s">
        <v>14</v>
      </c>
      <c r="C17" s="73" t="s">
        <v>15</v>
      </c>
      <c r="D17" s="73" t="s">
        <v>16</v>
      </c>
      <c r="E17" s="75" t="s">
        <v>17</v>
      </c>
      <c r="F17" s="71" t="s">
        <v>43</v>
      </c>
      <c r="G17" s="77" t="s">
        <v>17</v>
      </c>
      <c r="H17" s="77" t="s">
        <v>29</v>
      </c>
      <c r="I17" s="79" t="s">
        <v>41</v>
      </c>
      <c r="J17" s="81" t="s">
        <v>42</v>
      </c>
      <c r="K17" s="83" t="s">
        <v>10</v>
      </c>
      <c r="L17" s="85" t="s">
        <v>18</v>
      </c>
      <c r="M17" s="87" t="s">
        <v>8</v>
      </c>
    </row>
    <row r="18" spans="1:16" ht="21.95" customHeight="1" x14ac:dyDescent="0.3">
      <c r="A18" s="72"/>
      <c r="B18" s="74"/>
      <c r="C18" s="74"/>
      <c r="D18" s="74"/>
      <c r="E18" s="76"/>
      <c r="F18" s="72"/>
      <c r="G18" s="78"/>
      <c r="H18" s="78"/>
      <c r="I18" s="80"/>
      <c r="J18" s="82"/>
      <c r="K18" s="84"/>
      <c r="L18" s="86"/>
      <c r="M18" s="88"/>
    </row>
    <row r="19" spans="1:16" ht="21.95" customHeight="1" x14ac:dyDescent="0.3">
      <c r="A19" s="110" t="s">
        <v>26</v>
      </c>
      <c r="B19" s="3"/>
      <c r="C19" s="3"/>
      <c r="D19" s="3"/>
      <c r="E19" s="11" t="s">
        <v>27</v>
      </c>
      <c r="F19" s="112" t="str">
        <f>$A$19</f>
        <v>Spurious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05" t="str">
        <f>IF(OR(I19-H19&gt;10,I19-H19=-30),"No Peak Found",I19-H19)</f>
        <v>No Peak Found</v>
      </c>
      <c r="K19" s="89" t="s">
        <v>9</v>
      </c>
      <c r="L19" s="91" t="str">
        <f>IF(OR(COUNTIF(B19:D20, "-")+COUNTBLANK(B19:D20)=6), "Pass", IF(H19 &gt; I19, "Fail", IF(J19 &lt; 3, "Margin 부족", "Pass")))</f>
        <v>Pass</v>
      </c>
      <c r="M19" s="93" t="s">
        <v>12</v>
      </c>
    </row>
    <row r="20" spans="1:16" ht="21.95" customHeight="1" thickBot="1" x14ac:dyDescent="0.35">
      <c r="A20" s="111"/>
      <c r="B20" s="7"/>
      <c r="C20" s="7"/>
      <c r="D20" s="7"/>
      <c r="E20" s="12" t="s">
        <v>28</v>
      </c>
      <c r="F20" s="113"/>
      <c r="G20" s="114"/>
      <c r="H20" s="115"/>
      <c r="I20" s="116"/>
      <c r="J20" s="106"/>
      <c r="K20" s="117"/>
      <c r="L20" s="118"/>
      <c r="M20" s="119"/>
    </row>
    <row r="21" spans="1:16" ht="21.95" customHeight="1" thickBot="1" x14ac:dyDescent="0.35">
      <c r="A21" s="120" t="s">
        <v>31</v>
      </c>
      <c r="B21" s="121"/>
      <c r="C21" s="121"/>
      <c r="D21" s="121"/>
      <c r="E21" s="121"/>
      <c r="F21" s="122" t="s">
        <v>31</v>
      </c>
      <c r="G21" s="123"/>
      <c r="H21" s="123"/>
      <c r="I21" s="123"/>
      <c r="J21" s="70"/>
      <c r="K21" s="123"/>
      <c r="L21" s="124"/>
      <c r="M21" s="125"/>
    </row>
    <row r="22" spans="1:16" ht="21.95" customHeight="1" thickTop="1" x14ac:dyDescent="0.3">
      <c r="A22" s="126" t="s">
        <v>43</v>
      </c>
      <c r="B22" s="128" t="s">
        <v>14</v>
      </c>
      <c r="C22" s="128" t="s">
        <v>15</v>
      </c>
      <c r="D22" s="128" t="s">
        <v>16</v>
      </c>
      <c r="E22" s="130" t="s">
        <v>17</v>
      </c>
      <c r="F22" s="126" t="s">
        <v>43</v>
      </c>
      <c r="G22" s="132" t="s">
        <v>17</v>
      </c>
      <c r="H22" s="132" t="s">
        <v>29</v>
      </c>
      <c r="I22" s="133" t="s">
        <v>41</v>
      </c>
      <c r="J22" s="81" t="s">
        <v>42</v>
      </c>
      <c r="K22" s="134" t="s">
        <v>10</v>
      </c>
      <c r="L22" s="136" t="s">
        <v>18</v>
      </c>
      <c r="M22" s="138" t="s">
        <v>8</v>
      </c>
    </row>
    <row r="23" spans="1:16" ht="21.75" customHeight="1" x14ac:dyDescent="0.3">
      <c r="A23" s="127"/>
      <c r="B23" s="129"/>
      <c r="C23" s="129"/>
      <c r="D23" s="129"/>
      <c r="E23" s="131"/>
      <c r="F23" s="127"/>
      <c r="G23" s="78"/>
      <c r="H23" s="78"/>
      <c r="I23" s="80"/>
      <c r="J23" s="82"/>
      <c r="K23" s="135"/>
      <c r="L23" s="137"/>
      <c r="M23" s="139"/>
    </row>
    <row r="24" spans="1:16" ht="21.95" customHeight="1" x14ac:dyDescent="0.3">
      <c r="A24" s="140">
        <f>J7*2</f>
        <v>0</v>
      </c>
      <c r="B24" s="4"/>
      <c r="C24" s="4"/>
      <c r="D24" s="4"/>
      <c r="E24" s="13" t="s">
        <v>1</v>
      </c>
      <c r="F24" s="142">
        <f>$A$24</f>
        <v>0</v>
      </c>
      <c r="G24" s="99" t="str">
        <f>IF(COUNT(B24:D24)=0, "H", IF(COUNT(B25:D25)=0, "V", IF(MAX(B24:D24) &gt;= MAX(B25:D25), "V", "H")))</f>
        <v>H</v>
      </c>
      <c r="H24" s="101">
        <f>MAX(B24:D25)</f>
        <v>0</v>
      </c>
      <c r="I24" s="103">
        <v>-30</v>
      </c>
      <c r="J24" s="143" t="str">
        <f>IF(OR(I24-H24&gt;10,I24-H24=-30),"No Peak Found",I24-H24)</f>
        <v>No Peak Found</v>
      </c>
      <c r="K24" s="144" t="s">
        <v>9</v>
      </c>
      <c r="L24" s="117" t="str">
        <f>IF(OR(COUNTIF(B24:D25, "-")+COUNTBLANK(B24:D25)=6), "Pass", IF(H24 &gt; I24, "Fail", IF(J24 &lt; 3, "Margin 부족", "Pass")))</f>
        <v>Pass</v>
      </c>
      <c r="M24" s="146" t="s">
        <v>11</v>
      </c>
    </row>
    <row r="25" spans="1:16" ht="21.95" customHeight="1" x14ac:dyDescent="0.3">
      <c r="A25" s="141"/>
      <c r="B25" s="4"/>
      <c r="C25" s="4"/>
      <c r="D25" s="4"/>
      <c r="E25" s="13" t="s">
        <v>0</v>
      </c>
      <c r="F25" s="142"/>
      <c r="G25" s="99"/>
      <c r="H25" s="101"/>
      <c r="I25" s="103"/>
      <c r="J25" s="143"/>
      <c r="K25" s="144"/>
      <c r="L25" s="145"/>
      <c r="M25" s="147"/>
    </row>
    <row r="26" spans="1:16" ht="21.95" customHeight="1" x14ac:dyDescent="0.3">
      <c r="A26" s="140">
        <f>J7*3</f>
        <v>0</v>
      </c>
      <c r="B26" s="4"/>
      <c r="C26" s="4"/>
      <c r="D26" s="4"/>
      <c r="E26" s="13" t="s">
        <v>1</v>
      </c>
      <c r="F26" s="148">
        <f>$A$26</f>
        <v>0</v>
      </c>
      <c r="G26" s="99" t="str">
        <f>IF(COUNT(B26:D26)=0, "H", IF(COUNT(B27:D27)=0, "V", IF(MAX(B26:D26) &gt;= MAX(B27:D27), "V", "H")))</f>
        <v>H</v>
      </c>
      <c r="H26" s="101">
        <f>MAX(B26:D27)</f>
        <v>0</v>
      </c>
      <c r="I26" s="149">
        <v>-30</v>
      </c>
      <c r="J26" s="143" t="str">
        <f t="shared" ref="J26" si="0">IF(OR(I26-H26&gt;10,I26-H26=-30),"No Peak Found",I26-H26)</f>
        <v>No Peak Found</v>
      </c>
      <c r="K26" s="150" t="s">
        <v>9</v>
      </c>
      <c r="L26" s="117" t="str">
        <f>IF(OR(COUNTIF(B26:D27, "-")+COUNTBLANK(B26:D27)=6), "Pass", IF(H26 &gt; I26, "Fail", IF(J26 &lt; 3, "Margin 부족", "Pass")))</f>
        <v>Pass</v>
      </c>
      <c r="M26" s="146" t="s">
        <v>11</v>
      </c>
    </row>
    <row r="27" spans="1:16" ht="21.95" customHeight="1" x14ac:dyDescent="0.3">
      <c r="A27" s="141"/>
      <c r="B27" s="4"/>
      <c r="C27" s="4"/>
      <c r="D27" s="4"/>
      <c r="E27" s="13" t="s">
        <v>0</v>
      </c>
      <c r="F27" s="148"/>
      <c r="G27" s="99"/>
      <c r="H27" s="101"/>
      <c r="I27" s="149"/>
      <c r="J27" s="143"/>
      <c r="K27" s="150"/>
      <c r="L27" s="145"/>
      <c r="M27" s="147"/>
      <c r="N27" s="8" t="s">
        <v>8</v>
      </c>
    </row>
    <row r="28" spans="1:16" ht="21.95" customHeight="1" x14ac:dyDescent="0.3">
      <c r="A28" s="140">
        <f>J7*4</f>
        <v>0</v>
      </c>
      <c r="B28" s="4"/>
      <c r="C28" s="4"/>
      <c r="D28" s="4"/>
      <c r="E28" s="13" t="s">
        <v>1</v>
      </c>
      <c r="F28" s="142">
        <f>$A$28</f>
        <v>0</v>
      </c>
      <c r="G28" s="99" t="str">
        <f>IF(COUNT(B28:D28)=0, "H", IF(COUNT(B29:D29)=0, "V", IF(MAX(B28:D28) &gt;= MAX(B29:D29), "V", "H")))</f>
        <v>H</v>
      </c>
      <c r="H28" s="101">
        <f>MAX(B28:D29)</f>
        <v>0</v>
      </c>
      <c r="I28" s="149">
        <v>-30</v>
      </c>
      <c r="J28" s="143" t="str">
        <f t="shared" ref="J28" si="1">IF(OR(I28-H28&gt;10,I28-H28=-30),"No Peak Found",I28-H28)</f>
        <v>No Peak Found</v>
      </c>
      <c r="K28" s="171" t="s">
        <v>9</v>
      </c>
      <c r="L28" s="117" t="str">
        <f>IF(OR(COUNTIF(B28:D29, "-")+COUNTBLANK(B28:D29)=6), "Pass", IF(H28 &gt; I28, "Fail", IF(J28 &lt; 3, "Margin 부족", "Pass")))</f>
        <v>Pass</v>
      </c>
      <c r="M28" s="146" t="s">
        <v>11</v>
      </c>
      <c r="N28" s="163" t="str">
        <f>"1. Sub6 NR Band : " &amp; VALUE(RIGHT(A7, LEN(A7)-1))</f>
        <v>1. Sub6 NR Band : 40</v>
      </c>
      <c r="O28" s="164"/>
      <c r="P28" s="164"/>
    </row>
    <row r="29" spans="1:16" ht="21.95" customHeight="1" x14ac:dyDescent="0.3">
      <c r="A29" s="141"/>
      <c r="B29" s="4"/>
      <c r="C29" s="4"/>
      <c r="D29" s="4"/>
      <c r="E29" s="13" t="s">
        <v>0</v>
      </c>
      <c r="F29" s="142"/>
      <c r="G29" s="99"/>
      <c r="H29" s="101"/>
      <c r="I29" s="149"/>
      <c r="J29" s="143"/>
      <c r="K29" s="171"/>
      <c r="L29" s="145"/>
      <c r="M29" s="147"/>
      <c r="N29" s="152" t="str">
        <f>"2. SCS : " &amp; H7 &amp; " kHz"</f>
        <v>2. SCS : 30 kHz</v>
      </c>
      <c r="O29" s="153"/>
      <c r="P29" s="153"/>
    </row>
    <row r="30" spans="1:16" ht="21.95" customHeight="1" x14ac:dyDescent="0.3">
      <c r="A30" s="140">
        <f>J7*5</f>
        <v>0</v>
      </c>
      <c r="B30" s="4"/>
      <c r="C30" s="4"/>
      <c r="D30" s="4"/>
      <c r="E30" s="13" t="s">
        <v>1</v>
      </c>
      <c r="F30" s="148">
        <f>$A$30</f>
        <v>0</v>
      </c>
      <c r="G30" s="99" t="str">
        <f>IF(COUNT(B30:D30)=0, "H", IF(COUNT(B31:D31)=0, "V", IF(MAX(B30:D30) &gt;= MAX(B31:D31), "V", "H")))</f>
        <v>H</v>
      </c>
      <c r="H30" s="101">
        <f>MAX(B30:D31)</f>
        <v>0</v>
      </c>
      <c r="I30" s="149">
        <v>-30</v>
      </c>
      <c r="J30" s="143" t="str">
        <f t="shared" ref="J30" si="2">IF(OR(I30-H30&gt;10,I30-H30=-30),"No Peak Found",I30-H30)</f>
        <v>No Peak Found</v>
      </c>
      <c r="K30" s="171" t="s">
        <v>9</v>
      </c>
      <c r="L30" s="117" t="str">
        <f>IF(OR(COUNTIF(B30:D31, "-")+COUNTBLANK(B30:D31)=6), "Pass", IF(H30 &gt; I30, "Fail", IF(J30 &lt; 3, "Margin 부족", "Pass")))</f>
        <v>Pass</v>
      </c>
      <c r="M30" s="146" t="s">
        <v>11</v>
      </c>
      <c r="N30" s="152" t="str">
        <f>"3. The test was performed the " &amp; I7 &amp; " antenna."</f>
        <v>3. The test was performed the  antenna.</v>
      </c>
      <c r="O30" s="153"/>
      <c r="P30" s="153"/>
    </row>
    <row r="31" spans="1:16" ht="21.95" customHeight="1" thickBot="1" x14ac:dyDescent="0.35">
      <c r="A31" s="165"/>
      <c r="B31" s="9"/>
      <c r="C31" s="9"/>
      <c r="D31" s="9"/>
      <c r="E31" s="14" t="s">
        <v>28</v>
      </c>
      <c r="F31" s="166"/>
      <c r="G31" s="167"/>
      <c r="H31" s="168"/>
      <c r="I31" s="169"/>
      <c r="J31" s="170"/>
      <c r="K31" s="172"/>
      <c r="L31" s="173"/>
      <c r="M31" s="151"/>
      <c r="N31" s="152" t="str">
        <f>"4. " &amp; LEFT(A9, FIND(" ", A9 &amp; " ") - 1) &amp; " Mode Test."</f>
        <v>4. NSA Mode Test.</v>
      </c>
      <c r="O31" s="154"/>
      <c r="P31" s="154"/>
    </row>
    <row r="32" spans="1:16" ht="24.95" customHeight="1" x14ac:dyDescent="0.3">
      <c r="A32" s="155" t="s">
        <v>32</v>
      </c>
      <c r="B32" s="156"/>
      <c r="C32" s="156"/>
      <c r="D32" s="156"/>
      <c r="E32" s="157"/>
      <c r="F32" s="159" t="s">
        <v>49</v>
      </c>
      <c r="G32" s="159"/>
      <c r="H32" s="159"/>
      <c r="I32" s="159"/>
      <c r="J32" s="159"/>
      <c r="K32" s="159"/>
      <c r="L32" s="159"/>
      <c r="M32" s="160"/>
    </row>
    <row r="33" spans="1:13" ht="24.95" customHeight="1" x14ac:dyDescent="0.3">
      <c r="A33" s="158"/>
      <c r="B33" s="156"/>
      <c r="C33" s="156"/>
      <c r="D33" s="156"/>
      <c r="E33" s="157"/>
      <c r="F33" s="161"/>
      <c r="G33" s="161"/>
      <c r="H33" s="161"/>
      <c r="I33" s="161"/>
      <c r="J33" s="161"/>
      <c r="K33" s="161"/>
      <c r="L33" s="161"/>
      <c r="M33" s="162"/>
    </row>
    <row r="34" spans="1:13" ht="21.95" customHeight="1" thickBot="1" x14ac:dyDescent="0.35">
      <c r="A34" s="174" t="s">
        <v>6</v>
      </c>
      <c r="B34" s="175"/>
      <c r="C34" s="175"/>
      <c r="D34" s="175"/>
      <c r="E34" s="176"/>
      <c r="F34" s="177" t="s">
        <v>6</v>
      </c>
      <c r="G34" s="177"/>
      <c r="H34" s="177"/>
      <c r="I34" s="177"/>
      <c r="J34" s="177"/>
      <c r="K34" s="177"/>
      <c r="L34" s="177"/>
      <c r="M34" s="177"/>
    </row>
    <row r="35" spans="1:13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85" t="s">
        <v>18</v>
      </c>
      <c r="M35" s="87" t="s">
        <v>8</v>
      </c>
    </row>
    <row r="36" spans="1:13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86"/>
      <c r="M36" s="88"/>
    </row>
    <row r="37" spans="1:13" ht="21.95" customHeight="1" x14ac:dyDescent="0.3">
      <c r="A37" s="189" t="s">
        <v>26</v>
      </c>
      <c r="B37" s="10"/>
      <c r="C37" s="1"/>
      <c r="D37" s="1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-57</v>
      </c>
      <c r="J37" s="178" t="str">
        <f>IF(OR(I37-H37&gt;10,I37-H37=-57),"No Peak Found",I37-H37)</f>
        <v>No Peak Found</v>
      </c>
      <c r="K37" s="180" t="s">
        <v>9</v>
      </c>
      <c r="L37" s="91" t="str">
        <f>IF(OR(COUNTIF(B37:D38, "-")+COUNTBLANK(B37:D38)=6), "Pass", IF(H37 &gt; I37, "Fail", IF(J37 &lt; 3, "Margin 부족", "Pass")))</f>
        <v>Pass</v>
      </c>
      <c r="M37" s="182" t="s">
        <v>12</v>
      </c>
    </row>
    <row r="38" spans="1:13" ht="21.95" customHeight="1" thickBot="1" x14ac:dyDescent="0.35">
      <c r="A38" s="190"/>
      <c r="B38" s="2"/>
      <c r="C38" s="2"/>
      <c r="D38" s="2"/>
      <c r="E38" s="12" t="s">
        <v>28</v>
      </c>
      <c r="F38" s="192"/>
      <c r="G38" s="194"/>
      <c r="H38" s="196"/>
      <c r="I38" s="198"/>
      <c r="J38" s="179"/>
      <c r="K38" s="181"/>
      <c r="L38" s="92"/>
      <c r="M38" s="183"/>
    </row>
    <row r="39" spans="1:13" ht="21.95" customHeight="1" thickBot="1" x14ac:dyDescent="0.35">
      <c r="A39" s="184" t="s">
        <v>33</v>
      </c>
      <c r="B39" s="185"/>
      <c r="C39" s="185"/>
      <c r="D39" s="185"/>
      <c r="E39" s="186"/>
      <c r="F39" s="70" t="s">
        <v>33</v>
      </c>
      <c r="G39" s="70"/>
      <c r="H39" s="70"/>
      <c r="I39" s="70"/>
      <c r="J39" s="70"/>
      <c r="K39" s="70"/>
      <c r="L39" s="70"/>
      <c r="M39" s="70"/>
    </row>
    <row r="40" spans="1:13" ht="21.95" customHeight="1" thickTop="1" x14ac:dyDescent="0.3">
      <c r="A40" s="71" t="s">
        <v>43</v>
      </c>
      <c r="B40" s="73" t="s">
        <v>14</v>
      </c>
      <c r="C40" s="73" t="s">
        <v>15</v>
      </c>
      <c r="D40" s="73" t="s">
        <v>16</v>
      </c>
      <c r="E40" s="75" t="s">
        <v>17</v>
      </c>
      <c r="F40" s="71" t="s">
        <v>43</v>
      </c>
      <c r="G40" s="77" t="s">
        <v>17</v>
      </c>
      <c r="H40" s="77" t="s">
        <v>29</v>
      </c>
      <c r="I40" s="79" t="s">
        <v>41</v>
      </c>
      <c r="J40" s="81" t="s">
        <v>42</v>
      </c>
      <c r="K40" s="187" t="s">
        <v>10</v>
      </c>
      <c r="L40" s="85" t="s">
        <v>18</v>
      </c>
      <c r="M40" s="87" t="s">
        <v>8</v>
      </c>
    </row>
    <row r="41" spans="1:13" ht="21.95" customHeight="1" x14ac:dyDescent="0.3">
      <c r="A41" s="72"/>
      <c r="B41" s="74"/>
      <c r="C41" s="74"/>
      <c r="D41" s="74"/>
      <c r="E41" s="76"/>
      <c r="F41" s="72"/>
      <c r="G41" s="78"/>
      <c r="H41" s="78"/>
      <c r="I41" s="80"/>
      <c r="J41" s="82"/>
      <c r="K41" s="188"/>
      <c r="L41" s="86"/>
      <c r="M41" s="88"/>
    </row>
    <row r="42" spans="1:13" ht="21.95" customHeight="1" x14ac:dyDescent="0.3">
      <c r="A42" s="189" t="s">
        <v>26</v>
      </c>
      <c r="B42" s="10"/>
      <c r="C42" s="1"/>
      <c r="D42" s="1"/>
      <c r="E42" s="11" t="s">
        <v>27</v>
      </c>
      <c r="F42" s="191" t="str">
        <f>A42</f>
        <v>Spurious</v>
      </c>
      <c r="G42" s="193" t="str">
        <f>IF(COUNT(B42:D42)=0, "H", IF(COUNT(B43:D43)=0, "V", IF(MAX(B42:D42) &gt;= MAX(B43:D43), "V", "H")))</f>
        <v>H</v>
      </c>
      <c r="H42" s="195">
        <f>MAX(B42:D43)</f>
        <v>0</v>
      </c>
      <c r="I42" s="197">
        <v>-47</v>
      </c>
      <c r="J42" s="178" t="str">
        <f>IF(OR(I42-H42&gt;10,I42-H42=-47),"No Peak Found",I42-H42)</f>
        <v>No Peak Found</v>
      </c>
      <c r="K42" s="180" t="s">
        <v>9</v>
      </c>
      <c r="L42" s="91" t="str">
        <f>IF(OR(COUNTIF(B42:D43, "-")+COUNTBLANK(B42:D43)=6), "Pass", IF(H42 &gt; I42, "Fail", IF(J42 &lt; 3, "Margin 부족", "Pass")))</f>
        <v>Pass</v>
      </c>
      <c r="M42" s="182" t="s">
        <v>12</v>
      </c>
    </row>
    <row r="43" spans="1:13" ht="21.95" customHeight="1" thickBot="1" x14ac:dyDescent="0.35">
      <c r="A43" s="190"/>
      <c r="B43" s="2"/>
      <c r="C43" s="2"/>
      <c r="D43" s="2"/>
      <c r="E43" s="12" t="s">
        <v>28</v>
      </c>
      <c r="F43" s="192"/>
      <c r="G43" s="194"/>
      <c r="H43" s="196"/>
      <c r="I43" s="198"/>
      <c r="J43" s="179"/>
      <c r="K43" s="181"/>
      <c r="L43" s="92"/>
      <c r="M43" s="183"/>
    </row>
    <row r="44" spans="1:13" ht="21.95" customHeight="1" thickBot="1" x14ac:dyDescent="0.35"/>
    <row r="45" spans="1:13" ht="21.95" customHeight="1" x14ac:dyDescent="0.3">
      <c r="A45" s="30" t="s">
        <v>67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2"/>
    </row>
    <row r="46" spans="1:13" ht="21.95" customHeight="1" thickBot="1" x14ac:dyDescent="0.35">
      <c r="A46" s="231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4"/>
    </row>
    <row r="47" spans="1:13" ht="21.95" customHeight="1" x14ac:dyDescent="0.3">
      <c r="A47" s="235" t="s">
        <v>19</v>
      </c>
      <c r="B47" s="254" t="s">
        <v>68</v>
      </c>
      <c r="C47" s="236" t="s">
        <v>22</v>
      </c>
      <c r="D47" s="237" t="s">
        <v>23</v>
      </c>
      <c r="E47" s="237" t="s">
        <v>20</v>
      </c>
      <c r="F47" s="237" t="s">
        <v>21</v>
      </c>
      <c r="G47" s="237" t="s">
        <v>24</v>
      </c>
      <c r="H47" s="238" t="s">
        <v>39</v>
      </c>
      <c r="I47" s="239" t="s">
        <v>37</v>
      </c>
      <c r="J47" s="240" t="s">
        <v>40</v>
      </c>
      <c r="K47" s="241"/>
      <c r="L47" s="241"/>
      <c r="M47" s="242"/>
    </row>
    <row r="48" spans="1:13" ht="21.95" customHeight="1" x14ac:dyDescent="0.3">
      <c r="A48" s="243"/>
      <c r="B48" s="233"/>
      <c r="C48" s="229"/>
      <c r="D48" s="53"/>
      <c r="E48" s="53"/>
      <c r="F48" s="53"/>
      <c r="G48" s="53"/>
      <c r="H48" s="52"/>
      <c r="I48" s="52"/>
      <c r="J48" s="59"/>
      <c r="K48" s="60"/>
      <c r="L48" s="60"/>
      <c r="M48" s="244"/>
    </row>
    <row r="49" spans="1:16" ht="21.95" customHeight="1" x14ac:dyDescent="0.3">
      <c r="A49" s="245" t="s">
        <v>73</v>
      </c>
      <c r="B49" s="255"/>
      <c r="C49" s="230"/>
      <c r="D49" s="36"/>
      <c r="E49" s="36"/>
      <c r="F49" s="36"/>
      <c r="G49" s="36"/>
      <c r="H49" s="37">
        <v>30</v>
      </c>
      <c r="I49" s="37"/>
      <c r="J49" s="39"/>
      <c r="K49" s="40"/>
      <c r="L49" s="40"/>
      <c r="M49" s="246"/>
    </row>
    <row r="50" spans="1:16" ht="21.95" customHeight="1" thickBot="1" x14ac:dyDescent="0.35">
      <c r="A50" s="247"/>
      <c r="B50" s="256"/>
      <c r="C50" s="248"/>
      <c r="D50" s="249"/>
      <c r="E50" s="249"/>
      <c r="F50" s="249"/>
      <c r="G50" s="249"/>
      <c r="H50" s="250"/>
      <c r="I50" s="250"/>
      <c r="J50" s="251"/>
      <c r="K50" s="252"/>
      <c r="L50" s="252"/>
      <c r="M50" s="253"/>
    </row>
    <row r="51" spans="1:16" ht="21.95" customHeight="1" x14ac:dyDescent="0.3">
      <c r="A51" s="155" t="s">
        <v>44</v>
      </c>
      <c r="B51" s="159"/>
      <c r="C51" s="159"/>
      <c r="D51" s="159"/>
      <c r="E51" s="160"/>
      <c r="F51" s="155" t="s">
        <v>50</v>
      </c>
      <c r="G51" s="159"/>
      <c r="H51" s="159"/>
      <c r="I51" s="159"/>
      <c r="J51" s="159"/>
      <c r="K51" s="159"/>
      <c r="L51" s="159"/>
      <c r="M51" s="160"/>
    </row>
    <row r="52" spans="1:16" ht="21.95" customHeight="1" x14ac:dyDescent="0.3">
      <c r="A52" s="228"/>
      <c r="B52" s="161"/>
      <c r="C52" s="161"/>
      <c r="D52" s="161"/>
      <c r="E52" s="162"/>
      <c r="F52" s="228"/>
      <c r="G52" s="161"/>
      <c r="H52" s="161"/>
      <c r="I52" s="161"/>
      <c r="J52" s="161"/>
      <c r="K52" s="161"/>
      <c r="L52" s="161"/>
      <c r="M52" s="162"/>
    </row>
    <row r="53" spans="1:16" ht="21.95" customHeight="1" thickBot="1" x14ac:dyDescent="0.35">
      <c r="A53" s="67" t="s">
        <v>7</v>
      </c>
      <c r="B53" s="68"/>
      <c r="C53" s="68"/>
      <c r="D53" s="68"/>
      <c r="E53" s="69"/>
      <c r="F53" s="68" t="s">
        <v>7</v>
      </c>
      <c r="G53" s="68"/>
      <c r="H53" s="68"/>
      <c r="I53" s="68"/>
      <c r="J53" s="70"/>
      <c r="K53" s="68"/>
      <c r="L53" s="68"/>
      <c r="M53" s="69"/>
    </row>
    <row r="54" spans="1:16" ht="21.95" customHeight="1" thickTop="1" x14ac:dyDescent="0.3">
      <c r="A54" s="71" t="s">
        <v>43</v>
      </c>
      <c r="B54" s="73" t="s">
        <v>4</v>
      </c>
      <c r="C54" s="73" t="s">
        <v>15</v>
      </c>
      <c r="D54" s="73" t="s">
        <v>3</v>
      </c>
      <c r="E54" s="75" t="s">
        <v>2</v>
      </c>
      <c r="F54" s="71" t="s">
        <v>43</v>
      </c>
      <c r="G54" s="77" t="s">
        <v>17</v>
      </c>
      <c r="H54" s="77" t="s">
        <v>29</v>
      </c>
      <c r="I54" s="79" t="s">
        <v>41</v>
      </c>
      <c r="J54" s="81" t="s">
        <v>42</v>
      </c>
      <c r="K54" s="83" t="s">
        <v>10</v>
      </c>
      <c r="L54" s="85" t="s">
        <v>18</v>
      </c>
      <c r="M54" s="87" t="s">
        <v>8</v>
      </c>
    </row>
    <row r="55" spans="1:16" ht="21.95" customHeight="1" x14ac:dyDescent="0.3">
      <c r="A55" s="72"/>
      <c r="B55" s="74"/>
      <c r="C55" s="74"/>
      <c r="D55" s="74"/>
      <c r="E55" s="76"/>
      <c r="F55" s="72"/>
      <c r="G55" s="78"/>
      <c r="H55" s="78"/>
      <c r="I55" s="80"/>
      <c r="J55" s="82"/>
      <c r="K55" s="84"/>
      <c r="L55" s="86"/>
      <c r="M55" s="88"/>
    </row>
    <row r="56" spans="1:16" ht="21.95" customHeight="1" x14ac:dyDescent="0.3">
      <c r="A56" s="95" t="s">
        <v>26</v>
      </c>
      <c r="B56" s="3"/>
      <c r="C56" s="3"/>
      <c r="D56" s="3"/>
      <c r="E56" s="11" t="s">
        <v>27</v>
      </c>
      <c r="F56" s="97" t="str">
        <f>A56</f>
        <v>Spurious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-36</v>
      </c>
      <c r="J56" s="105" t="str">
        <f>IF(OR(I56-H56&gt;10,I56-H56=-36),"No Peak Found",I56-H56)</f>
        <v>No Peak Found</v>
      </c>
      <c r="K56" s="89" t="s">
        <v>9</v>
      </c>
      <c r="L56" s="91" t="str">
        <f>IF(OR(COUNTIF(B56:D57, "-")+COUNTBLANK(B56:D57)=6), "Pass", IF(H56 &gt; I56, "Fail", IF(J56 &lt; 3, "Margin 부족", "Pass")))</f>
        <v>Pass</v>
      </c>
      <c r="M56" s="93" t="s">
        <v>12</v>
      </c>
    </row>
    <row r="57" spans="1:16" ht="21.95" customHeight="1" thickBot="1" x14ac:dyDescent="0.35">
      <c r="A57" s="96"/>
      <c r="B57" s="7"/>
      <c r="C57" s="7"/>
      <c r="D57" s="7"/>
      <c r="E57" s="12" t="s">
        <v>28</v>
      </c>
      <c r="F57" s="98"/>
      <c r="G57" s="100"/>
      <c r="H57" s="102"/>
      <c r="I57" s="104"/>
      <c r="J57" s="106"/>
      <c r="K57" s="90"/>
      <c r="L57" s="92"/>
      <c r="M57" s="94"/>
    </row>
    <row r="58" spans="1:16" ht="21.95" customHeight="1" thickBot="1" x14ac:dyDescent="0.35">
      <c r="A58" s="107" t="s">
        <v>30</v>
      </c>
      <c r="B58" s="108"/>
      <c r="C58" s="108"/>
      <c r="D58" s="108"/>
      <c r="E58" s="109"/>
      <c r="F58" s="108" t="s">
        <v>30</v>
      </c>
      <c r="G58" s="108"/>
      <c r="H58" s="108"/>
      <c r="I58" s="108"/>
      <c r="J58" s="70"/>
      <c r="K58" s="108"/>
      <c r="L58" s="108"/>
      <c r="M58" s="108"/>
    </row>
    <row r="59" spans="1:16" ht="21.95" customHeight="1" thickTop="1" x14ac:dyDescent="0.3">
      <c r="A59" s="71" t="s">
        <v>43</v>
      </c>
      <c r="B59" s="73" t="s">
        <v>14</v>
      </c>
      <c r="C59" s="73" t="s">
        <v>15</v>
      </c>
      <c r="D59" s="73" t="s">
        <v>16</v>
      </c>
      <c r="E59" s="75" t="s">
        <v>17</v>
      </c>
      <c r="F59" s="71" t="s">
        <v>43</v>
      </c>
      <c r="G59" s="77" t="s">
        <v>17</v>
      </c>
      <c r="H59" s="77" t="s">
        <v>29</v>
      </c>
      <c r="I59" s="79" t="s">
        <v>41</v>
      </c>
      <c r="J59" s="81" t="s">
        <v>42</v>
      </c>
      <c r="K59" s="83" t="s">
        <v>10</v>
      </c>
      <c r="L59" s="85" t="s">
        <v>18</v>
      </c>
      <c r="M59" s="87" t="s">
        <v>8</v>
      </c>
    </row>
    <row r="60" spans="1:16" ht="21.95" customHeight="1" x14ac:dyDescent="0.3">
      <c r="A60" s="72"/>
      <c r="B60" s="74"/>
      <c r="C60" s="74"/>
      <c r="D60" s="74"/>
      <c r="E60" s="76"/>
      <c r="F60" s="72"/>
      <c r="G60" s="78"/>
      <c r="H60" s="78"/>
      <c r="I60" s="80"/>
      <c r="J60" s="82"/>
      <c r="K60" s="84"/>
      <c r="L60" s="86"/>
      <c r="M60" s="88"/>
    </row>
    <row r="61" spans="1:16" ht="21.95" customHeight="1" x14ac:dyDescent="0.3">
      <c r="A61" s="110" t="s">
        <v>26</v>
      </c>
      <c r="B61" s="3"/>
      <c r="C61" s="3"/>
      <c r="D61" s="3"/>
      <c r="E61" s="11" t="s">
        <v>27</v>
      </c>
      <c r="F61" s="112" t="str">
        <f>$A$19</f>
        <v>Spurious</v>
      </c>
      <c r="G61" s="99" t="str">
        <f>IF(COUNT(B61:D61)=0, "H", IF(COUNT(B62:D62)=0, "V", IF(MAX(B61:D61) &gt;= MAX(B62:D62), "V", "H")))</f>
        <v>H</v>
      </c>
      <c r="H61" s="101">
        <f>MAX(B61:D62)</f>
        <v>0</v>
      </c>
      <c r="I61" s="103">
        <v>-30</v>
      </c>
      <c r="J61" s="105" t="str">
        <f>IF(OR(I61-H61&gt;10,I61-H61=-30),"No Peak Found",I61-H61)</f>
        <v>No Peak Found</v>
      </c>
      <c r="K61" s="89" t="s">
        <v>9</v>
      </c>
      <c r="L61" s="91" t="str">
        <f>IF(OR(COUNTIF(B61:D62, "-")+COUNTBLANK(B61:D62)=6), "Pass", IF(H61 &gt; I61, "Fail", IF(J61 &lt; 3, "Margin 부족", "Pass")))</f>
        <v>Pass</v>
      </c>
      <c r="M61" s="93" t="s">
        <v>12</v>
      </c>
    </row>
    <row r="62" spans="1:16" ht="21.95" customHeight="1" thickBot="1" x14ac:dyDescent="0.35">
      <c r="A62" s="111"/>
      <c r="B62" s="7"/>
      <c r="C62" s="7"/>
      <c r="D62" s="7"/>
      <c r="E62" s="12" t="s">
        <v>28</v>
      </c>
      <c r="F62" s="113"/>
      <c r="G62" s="114"/>
      <c r="H62" s="115"/>
      <c r="I62" s="116"/>
      <c r="J62" s="106"/>
      <c r="K62" s="117"/>
      <c r="L62" s="118"/>
      <c r="M62" s="119"/>
    </row>
    <row r="63" spans="1:16" ht="21.95" customHeight="1" thickBot="1" x14ac:dyDescent="0.35">
      <c r="A63" s="120" t="s">
        <v>31</v>
      </c>
      <c r="B63" s="121"/>
      <c r="C63" s="121"/>
      <c r="D63" s="121"/>
      <c r="E63" s="121"/>
      <c r="F63" s="122" t="s">
        <v>31</v>
      </c>
      <c r="G63" s="123"/>
      <c r="H63" s="123"/>
      <c r="I63" s="123"/>
      <c r="J63" s="70"/>
      <c r="K63" s="123"/>
      <c r="L63" s="124"/>
      <c r="M63" s="125"/>
      <c r="N63" s="8" t="s">
        <v>8</v>
      </c>
    </row>
    <row r="64" spans="1:16" ht="21.95" customHeight="1" thickTop="1" x14ac:dyDescent="0.3">
      <c r="A64" s="71" t="s">
        <v>43</v>
      </c>
      <c r="B64" s="73" t="s">
        <v>14</v>
      </c>
      <c r="C64" s="73" t="s">
        <v>15</v>
      </c>
      <c r="D64" s="73" t="s">
        <v>16</v>
      </c>
      <c r="E64" s="75" t="s">
        <v>17</v>
      </c>
      <c r="F64" s="202" t="s">
        <v>43</v>
      </c>
      <c r="G64" s="132" t="s">
        <v>17</v>
      </c>
      <c r="H64" s="132" t="s">
        <v>29</v>
      </c>
      <c r="I64" s="133" t="s">
        <v>41</v>
      </c>
      <c r="J64" s="81" t="s">
        <v>42</v>
      </c>
      <c r="K64" s="134" t="s">
        <v>10</v>
      </c>
      <c r="L64" s="136" t="s">
        <v>18</v>
      </c>
      <c r="M64" s="138" t="s">
        <v>8</v>
      </c>
      <c r="N64" s="163" t="str">
        <f>"1. Sub6 NR Band : " &amp; VALUE(RIGHT(A7, LEN(A7)-1))</f>
        <v>1. Sub6 NR Band : 40</v>
      </c>
      <c r="O64" s="164"/>
      <c r="P64" s="164"/>
    </row>
    <row r="65" spans="1:16" ht="21.95" customHeight="1" x14ac:dyDescent="0.3">
      <c r="A65" s="72"/>
      <c r="B65" s="129"/>
      <c r="C65" s="129"/>
      <c r="D65" s="129"/>
      <c r="E65" s="76"/>
      <c r="F65" s="84"/>
      <c r="G65" s="78"/>
      <c r="H65" s="78"/>
      <c r="I65" s="80"/>
      <c r="J65" s="82"/>
      <c r="K65" s="135"/>
      <c r="L65" s="137"/>
      <c r="M65" s="139"/>
      <c r="N65" s="152" t="str">
        <f>"2. SCS : " &amp; H7 &amp; " kHz"</f>
        <v>2. SCS : 30 kHz</v>
      </c>
      <c r="O65" s="153"/>
      <c r="P65" s="153"/>
    </row>
    <row r="66" spans="1:16" ht="21.95" customHeight="1" x14ac:dyDescent="0.3">
      <c r="A66" s="199">
        <f>J7*2</f>
        <v>0</v>
      </c>
      <c r="B66" s="4"/>
      <c r="C66" s="4"/>
      <c r="D66" s="4"/>
      <c r="E66" s="16" t="s">
        <v>1</v>
      </c>
      <c r="F66" s="201">
        <f>$A$24</f>
        <v>0</v>
      </c>
      <c r="G66" s="99" t="str">
        <f>IF(COUNT(B66:D66)=0, "H", IF(COUNT(B67:D67)=0, "V", IF(MAX(B66:D66) &gt;= MAX(B67:D67), "V", "H")))</f>
        <v>H</v>
      </c>
      <c r="H66" s="101">
        <f>MAX(B66:D67)</f>
        <v>0</v>
      </c>
      <c r="I66" s="103">
        <v>-30</v>
      </c>
      <c r="J66" s="143" t="str">
        <f>IF(OR(I66-H66&gt;10,I66-H66=-30),"No Peak Found",I66-H66)</f>
        <v>No Peak Found</v>
      </c>
      <c r="K66" s="144" t="s">
        <v>9</v>
      </c>
      <c r="L66" s="117" t="str">
        <f>IF(OR(COUNTIF(B66:D67, "-")+COUNTBLANK(B66:D67)=6), "Pass", IF(H66 &gt; I66, "Fail", IF(J66 &lt; 3, "Margin 부족", "Pass")))</f>
        <v>Pass</v>
      </c>
      <c r="M66" s="146" t="s">
        <v>11</v>
      </c>
      <c r="N66" s="152" t="str">
        <f>"3. The test was performed the " &amp; I7 &amp; " antenna."</f>
        <v>3. The test was performed the  antenna.</v>
      </c>
      <c r="O66" s="153"/>
      <c r="P66" s="153"/>
    </row>
    <row r="67" spans="1:16" ht="21.95" customHeight="1" x14ac:dyDescent="0.3">
      <c r="A67" s="200"/>
      <c r="B67" s="4"/>
      <c r="C67" s="4"/>
      <c r="D67" s="4"/>
      <c r="E67" s="16" t="s">
        <v>0</v>
      </c>
      <c r="F67" s="201"/>
      <c r="G67" s="99"/>
      <c r="H67" s="101"/>
      <c r="I67" s="103"/>
      <c r="J67" s="143"/>
      <c r="K67" s="144"/>
      <c r="L67" s="145"/>
      <c r="M67" s="147"/>
      <c r="N67" s="152" t="str">
        <f>"4. " &amp; LEFT(A51, FIND(" ", A51 &amp; " ") - 1) &amp; " Mode Test."</f>
        <v>4. SA Mode Test.</v>
      </c>
      <c r="O67" s="154"/>
      <c r="P67" s="154"/>
    </row>
    <row r="68" spans="1:16" ht="21.95" customHeight="1" x14ac:dyDescent="0.3">
      <c r="A68" s="199">
        <f>J7*3</f>
        <v>0</v>
      </c>
      <c r="B68" s="4"/>
      <c r="C68" s="4"/>
      <c r="D68" s="4"/>
      <c r="E68" s="16" t="s">
        <v>1</v>
      </c>
      <c r="F68" s="203">
        <f>$A$26</f>
        <v>0</v>
      </c>
      <c r="G68" s="99" t="str">
        <f>IF(COUNT(B68:D68)=0, "H", IF(COUNT(B69:D69)=0, "V", IF(MAX(B68:D68) &gt;= MAX(B69:D69), "V", "H")))</f>
        <v>H</v>
      </c>
      <c r="H68" s="101">
        <f>MAX(B68:D69)</f>
        <v>0</v>
      </c>
      <c r="I68" s="149">
        <v>-30</v>
      </c>
      <c r="J68" s="143" t="str">
        <f t="shared" ref="J68" si="3">IF(OR(I68-H68&gt;10,I68-H68=-30),"No Peak Found",I68-H68)</f>
        <v>No Peak Found</v>
      </c>
      <c r="K68" s="150" t="s">
        <v>9</v>
      </c>
      <c r="L68" s="117" t="str">
        <f>IF(OR(COUNTIF(B68:D69, "-")+COUNTBLANK(B68:D69)=6), "Pass", IF(H68 &gt; I68, "Fail", IF(J68 &lt; 3, "Margin 부족", "Pass")))</f>
        <v>Pass</v>
      </c>
      <c r="M68" s="146" t="s">
        <v>11</v>
      </c>
    </row>
    <row r="69" spans="1:16" ht="21.95" customHeight="1" x14ac:dyDescent="0.3">
      <c r="A69" s="200"/>
      <c r="B69" s="4"/>
      <c r="C69" s="4"/>
      <c r="D69" s="4"/>
      <c r="E69" s="16" t="s">
        <v>0</v>
      </c>
      <c r="F69" s="203"/>
      <c r="G69" s="99"/>
      <c r="H69" s="101"/>
      <c r="I69" s="149"/>
      <c r="J69" s="143"/>
      <c r="K69" s="150"/>
      <c r="L69" s="145"/>
      <c r="M69" s="147"/>
    </row>
    <row r="70" spans="1:16" ht="21.95" customHeight="1" x14ac:dyDescent="0.3">
      <c r="A70" s="199">
        <f>J7*4</f>
        <v>0</v>
      </c>
      <c r="B70" s="4"/>
      <c r="C70" s="4"/>
      <c r="D70" s="4"/>
      <c r="E70" s="16" t="s">
        <v>1</v>
      </c>
      <c r="F70" s="201">
        <f>$A$28</f>
        <v>0</v>
      </c>
      <c r="G70" s="99" t="str">
        <f>IF(COUNT(B70:D70)=0, "H", IF(COUNT(B71:D71)=0, "V", IF(MAX(B70:D70) &gt;= MAX(B71:D71), "V", "H")))</f>
        <v>H</v>
      </c>
      <c r="H70" s="101">
        <f>MAX(B70:D71)</f>
        <v>0</v>
      </c>
      <c r="I70" s="149">
        <v>-30</v>
      </c>
      <c r="J70" s="143" t="str">
        <f t="shared" ref="J70" si="4">IF(OR(I70-H70&gt;10,I70-H70=-30),"No Peak Found",I70-H70)</f>
        <v>No Peak Found</v>
      </c>
      <c r="K70" s="171" t="s">
        <v>9</v>
      </c>
      <c r="L70" s="117" t="str">
        <f>IF(OR(COUNTIF(B70:D71, "-")+COUNTBLANK(B70:D71)=6), "Pass", IF(H70 &gt; I70, "Fail", IF(J70 &lt; 3, "Margin 부족", "Pass")))</f>
        <v>Pass</v>
      </c>
      <c r="M70" s="146" t="s">
        <v>11</v>
      </c>
    </row>
    <row r="71" spans="1:16" ht="21.95" customHeight="1" x14ac:dyDescent="0.3">
      <c r="A71" s="200"/>
      <c r="B71" s="4"/>
      <c r="C71" s="4"/>
      <c r="D71" s="4"/>
      <c r="E71" s="16" t="s">
        <v>0</v>
      </c>
      <c r="F71" s="201"/>
      <c r="G71" s="99"/>
      <c r="H71" s="101"/>
      <c r="I71" s="149"/>
      <c r="J71" s="143"/>
      <c r="K71" s="171"/>
      <c r="L71" s="145"/>
      <c r="M71" s="147"/>
    </row>
    <row r="72" spans="1:16" ht="21.95" customHeight="1" x14ac:dyDescent="0.3">
      <c r="A72" s="199">
        <f>J7*5</f>
        <v>0</v>
      </c>
      <c r="B72" s="4"/>
      <c r="C72" s="4"/>
      <c r="D72" s="4"/>
      <c r="E72" s="16" t="s">
        <v>1</v>
      </c>
      <c r="F72" s="203">
        <f>$A$30</f>
        <v>0</v>
      </c>
      <c r="G72" s="99" t="str">
        <f>IF(COUNT(B72:D72)=0, "H", IF(COUNT(B73:D73)=0, "V", IF(MAX(B72:D72) &gt;= MAX(B73:D73), "V", "H")))</f>
        <v>H</v>
      </c>
      <c r="H72" s="101">
        <f>MAX(B72:D73)</f>
        <v>0</v>
      </c>
      <c r="I72" s="149">
        <v>-30</v>
      </c>
      <c r="J72" s="143" t="str">
        <f t="shared" ref="J72" si="5">IF(OR(I72-H72&gt;10,I72-H72=-30),"No Peak Found",I72-H72)</f>
        <v>No Peak Found</v>
      </c>
      <c r="K72" s="171" t="s">
        <v>9</v>
      </c>
      <c r="L72" s="117" t="str">
        <f>IF(OR(COUNTIF(B72:D73, "-")+COUNTBLANK(B72:D73)=6), "Pass", IF(H72 &gt; I72, "Fail", IF(J72 &lt; 3, "Margin 부족", "Pass")))</f>
        <v>Pass</v>
      </c>
      <c r="M72" s="146" t="s">
        <v>11</v>
      </c>
    </row>
    <row r="73" spans="1:16" ht="21.95" customHeight="1" thickBot="1" x14ac:dyDescent="0.35">
      <c r="A73" s="204"/>
      <c r="B73" s="17"/>
      <c r="C73" s="17"/>
      <c r="D73" s="17"/>
      <c r="E73" s="18" t="s">
        <v>28</v>
      </c>
      <c r="F73" s="205"/>
      <c r="G73" s="167"/>
      <c r="H73" s="168"/>
      <c r="I73" s="169"/>
      <c r="J73" s="170"/>
      <c r="K73" s="172"/>
      <c r="L73" s="173"/>
      <c r="M73" s="151"/>
    </row>
    <row r="74" spans="1:16" ht="21.95" customHeight="1" x14ac:dyDescent="0.3">
      <c r="A74" s="155" t="s">
        <v>45</v>
      </c>
      <c r="B74" s="156"/>
      <c r="C74" s="156"/>
      <c r="D74" s="156"/>
      <c r="E74" s="157"/>
      <c r="F74" s="159" t="s">
        <v>51</v>
      </c>
      <c r="G74" s="159"/>
      <c r="H74" s="159"/>
      <c r="I74" s="159"/>
      <c r="J74" s="159"/>
      <c r="K74" s="159"/>
      <c r="L74" s="159"/>
      <c r="M74" s="160"/>
    </row>
    <row r="75" spans="1:16" ht="21.95" customHeight="1" x14ac:dyDescent="0.3">
      <c r="A75" s="158"/>
      <c r="B75" s="156"/>
      <c r="C75" s="156"/>
      <c r="D75" s="156"/>
      <c r="E75" s="157"/>
      <c r="F75" s="161"/>
      <c r="G75" s="161"/>
      <c r="H75" s="161"/>
      <c r="I75" s="161"/>
      <c r="J75" s="161"/>
      <c r="K75" s="161"/>
      <c r="L75" s="161"/>
      <c r="M75" s="162"/>
    </row>
    <row r="76" spans="1:16" ht="21.95" customHeight="1" thickBot="1" x14ac:dyDescent="0.35">
      <c r="A76" s="174" t="s">
        <v>6</v>
      </c>
      <c r="B76" s="175"/>
      <c r="C76" s="175"/>
      <c r="D76" s="175"/>
      <c r="E76" s="176"/>
      <c r="F76" s="177" t="s">
        <v>6</v>
      </c>
      <c r="G76" s="177"/>
      <c r="H76" s="177"/>
      <c r="I76" s="177"/>
      <c r="J76" s="177"/>
      <c r="K76" s="177"/>
      <c r="L76" s="177"/>
      <c r="M76" s="177"/>
    </row>
    <row r="77" spans="1:16" ht="21.95" customHeight="1" thickTop="1" x14ac:dyDescent="0.3">
      <c r="A77" s="71" t="s">
        <v>43</v>
      </c>
      <c r="B77" s="73" t="s">
        <v>14</v>
      </c>
      <c r="C77" s="73" t="s">
        <v>15</v>
      </c>
      <c r="D77" s="73" t="s">
        <v>16</v>
      </c>
      <c r="E77" s="75" t="s">
        <v>17</v>
      </c>
      <c r="F77" s="71" t="s">
        <v>43</v>
      </c>
      <c r="G77" s="77" t="s">
        <v>17</v>
      </c>
      <c r="H77" s="77" t="s">
        <v>29</v>
      </c>
      <c r="I77" s="79" t="s">
        <v>41</v>
      </c>
      <c r="J77" s="81" t="s">
        <v>42</v>
      </c>
      <c r="K77" s="187" t="s">
        <v>10</v>
      </c>
      <c r="L77" s="85" t="s">
        <v>18</v>
      </c>
      <c r="M77" s="87" t="s">
        <v>8</v>
      </c>
    </row>
    <row r="78" spans="1:16" ht="21.95" customHeight="1" x14ac:dyDescent="0.3">
      <c r="A78" s="72"/>
      <c r="B78" s="74"/>
      <c r="C78" s="74"/>
      <c r="D78" s="74"/>
      <c r="E78" s="76"/>
      <c r="F78" s="72"/>
      <c r="G78" s="78"/>
      <c r="H78" s="78"/>
      <c r="I78" s="80"/>
      <c r="J78" s="82"/>
      <c r="K78" s="188"/>
      <c r="L78" s="86"/>
      <c r="M78" s="88"/>
    </row>
    <row r="79" spans="1:16" ht="21.95" customHeight="1" x14ac:dyDescent="0.3">
      <c r="A79" s="189" t="s">
        <v>26</v>
      </c>
      <c r="B79" s="10"/>
      <c r="C79" s="1"/>
      <c r="D79" s="1"/>
      <c r="E79" s="11" t="s">
        <v>27</v>
      </c>
      <c r="F79" s="191" t="str">
        <f>A79</f>
        <v>Spurious</v>
      </c>
      <c r="G79" s="193" t="str">
        <f>IF(COUNT(B79:D79)=0, "H", IF(COUNT(B80:D80)=0, "V", IF(MAX(B79:D79) &gt;= MAX(B80:D80), "V", "H")))</f>
        <v>H</v>
      </c>
      <c r="H79" s="195">
        <f>MAX(B79:D80)</f>
        <v>0</v>
      </c>
      <c r="I79" s="197">
        <v>-57</v>
      </c>
      <c r="J79" s="178" t="str">
        <f>IF(OR(I79-H79&gt;10,I79-H79=-57),"No Peak Found",I79-H79)</f>
        <v>No Peak Found</v>
      </c>
      <c r="K79" s="180" t="s">
        <v>9</v>
      </c>
      <c r="L79" s="91" t="str">
        <f>IF(OR(COUNTIF(B79:D80, "-")+COUNTBLANK(B79:D80)=6), "Pass", IF(H79 &gt; I79, "Fail", IF(J79 &lt; 3, "Margin 부족", "Pass")))</f>
        <v>Pass</v>
      </c>
      <c r="M79" s="182" t="s">
        <v>12</v>
      </c>
    </row>
    <row r="80" spans="1:16" ht="21.95" customHeight="1" thickBot="1" x14ac:dyDescent="0.35">
      <c r="A80" s="190"/>
      <c r="B80" s="2"/>
      <c r="C80" s="2"/>
      <c r="D80" s="2"/>
      <c r="E80" s="12" t="s">
        <v>28</v>
      </c>
      <c r="F80" s="192"/>
      <c r="G80" s="194"/>
      <c r="H80" s="196"/>
      <c r="I80" s="198"/>
      <c r="J80" s="179"/>
      <c r="K80" s="181"/>
      <c r="L80" s="92"/>
      <c r="M80" s="183"/>
    </row>
    <row r="81" spans="1:13" ht="21.95" customHeight="1" thickBot="1" x14ac:dyDescent="0.35">
      <c r="A81" s="184" t="s">
        <v>33</v>
      </c>
      <c r="B81" s="185"/>
      <c r="C81" s="185"/>
      <c r="D81" s="185"/>
      <c r="E81" s="186"/>
      <c r="F81" s="70" t="s">
        <v>33</v>
      </c>
      <c r="G81" s="70"/>
      <c r="H81" s="70"/>
      <c r="I81" s="70"/>
      <c r="J81" s="70"/>
      <c r="K81" s="70"/>
      <c r="L81" s="70"/>
      <c r="M81" s="70"/>
    </row>
    <row r="82" spans="1:13" ht="21.95" customHeight="1" thickTop="1" x14ac:dyDescent="0.3">
      <c r="A82" s="71" t="s">
        <v>43</v>
      </c>
      <c r="B82" s="73" t="s">
        <v>14</v>
      </c>
      <c r="C82" s="73" t="s">
        <v>15</v>
      </c>
      <c r="D82" s="73" t="s">
        <v>16</v>
      </c>
      <c r="E82" s="75" t="s">
        <v>17</v>
      </c>
      <c r="F82" s="71" t="s">
        <v>43</v>
      </c>
      <c r="G82" s="77" t="s">
        <v>17</v>
      </c>
      <c r="H82" s="77" t="s">
        <v>29</v>
      </c>
      <c r="I82" s="79" t="s">
        <v>41</v>
      </c>
      <c r="J82" s="81" t="s">
        <v>42</v>
      </c>
      <c r="K82" s="187" t="s">
        <v>10</v>
      </c>
      <c r="L82" s="85" t="s">
        <v>18</v>
      </c>
      <c r="M82" s="87" t="s">
        <v>8</v>
      </c>
    </row>
    <row r="83" spans="1:13" ht="21.95" customHeight="1" x14ac:dyDescent="0.3">
      <c r="A83" s="72"/>
      <c r="B83" s="74"/>
      <c r="C83" s="74"/>
      <c r="D83" s="74"/>
      <c r="E83" s="76"/>
      <c r="F83" s="72"/>
      <c r="G83" s="78"/>
      <c r="H83" s="78"/>
      <c r="I83" s="80"/>
      <c r="J83" s="82"/>
      <c r="K83" s="188"/>
      <c r="L83" s="86"/>
      <c r="M83" s="88"/>
    </row>
    <row r="84" spans="1:13" ht="21.95" customHeight="1" x14ac:dyDescent="0.3">
      <c r="A84" s="189" t="s">
        <v>26</v>
      </c>
      <c r="B84" s="10"/>
      <c r="C84" s="1"/>
      <c r="D84" s="1"/>
      <c r="E84" s="11" t="s">
        <v>27</v>
      </c>
      <c r="F84" s="191" t="str">
        <f>A84</f>
        <v>Spurious</v>
      </c>
      <c r="G84" s="193" t="str">
        <f>IF(COUNT(B84:D84)=0, "H", IF(COUNT(B85:D85)=0, "V", IF(MAX(B84:D84) &gt;= MAX(B85:D85), "V", "H")))</f>
        <v>H</v>
      </c>
      <c r="H84" s="195">
        <f>MAX(B84:D85)</f>
        <v>0</v>
      </c>
      <c r="I84" s="197">
        <v>-47</v>
      </c>
      <c r="J84" s="178" t="str">
        <f>IF(OR(I84-H84&gt;10,I84-H84=-47),"No Peak Found",I84-H84)</f>
        <v>No Peak Found</v>
      </c>
      <c r="K84" s="180" t="s">
        <v>9</v>
      </c>
      <c r="L84" s="91" t="str">
        <f>IF(OR(COUNTIF(B84:D85, "-")+COUNTBLANK(B84:D85)=6), "Pass", IF(H84 &gt; I84, "Fail", IF(J84 &lt; 3, "Margin 부족", "Pass")))</f>
        <v>Pass</v>
      </c>
      <c r="M84" s="182" t="s">
        <v>12</v>
      </c>
    </row>
    <row r="85" spans="1:13" ht="21.95" customHeight="1" thickBot="1" x14ac:dyDescent="0.35">
      <c r="A85" s="190"/>
      <c r="B85" s="2"/>
      <c r="C85" s="2"/>
      <c r="D85" s="2"/>
      <c r="E85" s="12" t="s">
        <v>28</v>
      </c>
      <c r="F85" s="192"/>
      <c r="G85" s="194"/>
      <c r="H85" s="196"/>
      <c r="I85" s="198"/>
      <c r="J85" s="179"/>
      <c r="K85" s="181"/>
      <c r="L85" s="92"/>
      <c r="M85" s="183"/>
    </row>
  </sheetData>
  <mergeCells count="357">
    <mergeCell ref="J84:J85"/>
    <mergeCell ref="K84:K85"/>
    <mergeCell ref="L84:L85"/>
    <mergeCell ref="M84:M85"/>
    <mergeCell ref="I82:I83"/>
    <mergeCell ref="J82:J83"/>
    <mergeCell ref="K82:K83"/>
    <mergeCell ref="L82:L83"/>
    <mergeCell ref="M82:M83"/>
    <mergeCell ref="A84:A85"/>
    <mergeCell ref="F84:F85"/>
    <mergeCell ref="G84:G85"/>
    <mergeCell ref="H84:H85"/>
    <mergeCell ref="I84:I85"/>
    <mergeCell ref="A81:E81"/>
    <mergeCell ref="F81:M81"/>
    <mergeCell ref="A82:A83"/>
    <mergeCell ref="B82:B83"/>
    <mergeCell ref="C82:C83"/>
    <mergeCell ref="D82:D83"/>
    <mergeCell ref="E82:E83"/>
    <mergeCell ref="F82:F83"/>
    <mergeCell ref="G82:G83"/>
    <mergeCell ref="H82:H83"/>
    <mergeCell ref="M77:M78"/>
    <mergeCell ref="A79:A80"/>
    <mergeCell ref="F79:F80"/>
    <mergeCell ref="G79:G80"/>
    <mergeCell ref="H79:H80"/>
    <mergeCell ref="I79:I80"/>
    <mergeCell ref="J79:J80"/>
    <mergeCell ref="K79:K80"/>
    <mergeCell ref="L79:L80"/>
    <mergeCell ref="M79:M80"/>
    <mergeCell ref="G77:G78"/>
    <mergeCell ref="H77:H78"/>
    <mergeCell ref="I77:I78"/>
    <mergeCell ref="J77:J78"/>
    <mergeCell ref="K77:K78"/>
    <mergeCell ref="L77:L78"/>
    <mergeCell ref="A77:A78"/>
    <mergeCell ref="B77:B78"/>
    <mergeCell ref="C77:C78"/>
    <mergeCell ref="D77:D78"/>
    <mergeCell ref="E77:E78"/>
    <mergeCell ref="F77:F78"/>
    <mergeCell ref="L72:L73"/>
    <mergeCell ref="M72:M73"/>
    <mergeCell ref="A74:E75"/>
    <mergeCell ref="F74:M75"/>
    <mergeCell ref="A76:E76"/>
    <mergeCell ref="F76:M76"/>
    <mergeCell ref="K70:K71"/>
    <mergeCell ref="L70:L71"/>
    <mergeCell ref="M70:M71"/>
    <mergeCell ref="A72:A73"/>
    <mergeCell ref="F72:F73"/>
    <mergeCell ref="G72:G73"/>
    <mergeCell ref="H72:H73"/>
    <mergeCell ref="I72:I73"/>
    <mergeCell ref="J72:J73"/>
    <mergeCell ref="K72:K73"/>
    <mergeCell ref="J68:J69"/>
    <mergeCell ref="K68:K69"/>
    <mergeCell ref="L68:L69"/>
    <mergeCell ref="M68:M69"/>
    <mergeCell ref="A70:A71"/>
    <mergeCell ref="F70:F71"/>
    <mergeCell ref="G70:G71"/>
    <mergeCell ref="H70:H71"/>
    <mergeCell ref="I70:I71"/>
    <mergeCell ref="J70:J71"/>
    <mergeCell ref="K66:K67"/>
    <mergeCell ref="L66:L67"/>
    <mergeCell ref="M66:M67"/>
    <mergeCell ref="N66:P66"/>
    <mergeCell ref="N67:P67"/>
    <mergeCell ref="A68:A69"/>
    <mergeCell ref="F68:F69"/>
    <mergeCell ref="G68:G69"/>
    <mergeCell ref="H68:H69"/>
    <mergeCell ref="I68:I69"/>
    <mergeCell ref="L64:L65"/>
    <mergeCell ref="M64:M65"/>
    <mergeCell ref="N64:P64"/>
    <mergeCell ref="N65:P65"/>
    <mergeCell ref="A66:A67"/>
    <mergeCell ref="F66:F67"/>
    <mergeCell ref="G66:G67"/>
    <mergeCell ref="H66:H67"/>
    <mergeCell ref="I66:I67"/>
    <mergeCell ref="J66:J67"/>
    <mergeCell ref="F64:F65"/>
    <mergeCell ref="G64:G65"/>
    <mergeCell ref="H64:H65"/>
    <mergeCell ref="I64:I65"/>
    <mergeCell ref="J64:J65"/>
    <mergeCell ref="K64:K65"/>
    <mergeCell ref="K61:K62"/>
    <mergeCell ref="L61:L62"/>
    <mergeCell ref="M61:M62"/>
    <mergeCell ref="A63:E63"/>
    <mergeCell ref="F63:M63"/>
    <mergeCell ref="A64:A65"/>
    <mergeCell ref="B64:B65"/>
    <mergeCell ref="C64:C65"/>
    <mergeCell ref="D64:D65"/>
    <mergeCell ref="E64:E65"/>
    <mergeCell ref="A61:A62"/>
    <mergeCell ref="F61:F62"/>
    <mergeCell ref="G61:G62"/>
    <mergeCell ref="H61:H62"/>
    <mergeCell ref="I61:I62"/>
    <mergeCell ref="J61:J62"/>
    <mergeCell ref="H59:H60"/>
    <mergeCell ref="I59:I60"/>
    <mergeCell ref="J59:J60"/>
    <mergeCell ref="K59:K60"/>
    <mergeCell ref="L59:L60"/>
    <mergeCell ref="M59:M60"/>
    <mergeCell ref="M56:M57"/>
    <mergeCell ref="A58:E58"/>
    <mergeCell ref="F58:M58"/>
    <mergeCell ref="A59:A60"/>
    <mergeCell ref="B59:B60"/>
    <mergeCell ref="C59:C60"/>
    <mergeCell ref="D59:D60"/>
    <mergeCell ref="E59:E60"/>
    <mergeCell ref="F59:F60"/>
    <mergeCell ref="G59:G60"/>
    <mergeCell ref="L54:L55"/>
    <mergeCell ref="M54:M55"/>
    <mergeCell ref="A56:A57"/>
    <mergeCell ref="F56:F57"/>
    <mergeCell ref="G56:G57"/>
    <mergeCell ref="H56:H57"/>
    <mergeCell ref="I56:I57"/>
    <mergeCell ref="J56:J57"/>
    <mergeCell ref="K56:K57"/>
    <mergeCell ref="L56:L57"/>
    <mergeCell ref="F54:F55"/>
    <mergeCell ref="G54:G55"/>
    <mergeCell ref="H54:H55"/>
    <mergeCell ref="I54:I55"/>
    <mergeCell ref="J54:J55"/>
    <mergeCell ref="K54:K55"/>
    <mergeCell ref="J49:M50"/>
    <mergeCell ref="A51:E52"/>
    <mergeCell ref="F51:M52"/>
    <mergeCell ref="A53:E53"/>
    <mergeCell ref="F53:M53"/>
    <mergeCell ref="A54:A55"/>
    <mergeCell ref="B54:B55"/>
    <mergeCell ref="C54:C55"/>
    <mergeCell ref="D54:D55"/>
    <mergeCell ref="E54:E55"/>
    <mergeCell ref="J47:M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45:M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M40:M41"/>
    <mergeCell ref="A42:A43"/>
    <mergeCell ref="F42:F43"/>
    <mergeCell ref="G42:G43"/>
    <mergeCell ref="H42:H43"/>
    <mergeCell ref="I42:I43"/>
    <mergeCell ref="J42:J43"/>
    <mergeCell ref="K42:K43"/>
    <mergeCell ref="L42:L43"/>
    <mergeCell ref="M42:M43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J37:J38"/>
    <mergeCell ref="K37:K38"/>
    <mergeCell ref="L37:L38"/>
    <mergeCell ref="M37:M38"/>
    <mergeCell ref="A39:E39"/>
    <mergeCell ref="F39:M39"/>
    <mergeCell ref="I35:I36"/>
    <mergeCell ref="J35:J36"/>
    <mergeCell ref="K35:K36"/>
    <mergeCell ref="L35:L36"/>
    <mergeCell ref="M35:M36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K30:K31"/>
    <mergeCell ref="L30:L31"/>
    <mergeCell ref="M30:M31"/>
    <mergeCell ref="N30:P30"/>
    <mergeCell ref="N31:P31"/>
    <mergeCell ref="A32:E33"/>
    <mergeCell ref="F32:M33"/>
    <mergeCell ref="L28:L29"/>
    <mergeCell ref="M28:M29"/>
    <mergeCell ref="N28:P28"/>
    <mergeCell ref="N29:P29"/>
    <mergeCell ref="A30:A31"/>
    <mergeCell ref="F30:F31"/>
    <mergeCell ref="G30:G31"/>
    <mergeCell ref="H30:H31"/>
    <mergeCell ref="I30:I31"/>
    <mergeCell ref="J30:J31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J24:J25"/>
    <mergeCell ref="K24:K25"/>
    <mergeCell ref="L24:L25"/>
    <mergeCell ref="M24:M25"/>
    <mergeCell ref="A26:A27"/>
    <mergeCell ref="F26:F27"/>
    <mergeCell ref="G26:G27"/>
    <mergeCell ref="H26:H27"/>
    <mergeCell ref="I26:I27"/>
    <mergeCell ref="J26:J27"/>
    <mergeCell ref="I22:I23"/>
    <mergeCell ref="J22:J23"/>
    <mergeCell ref="K22:K23"/>
    <mergeCell ref="L22:L23"/>
    <mergeCell ref="M22:M23"/>
    <mergeCell ref="A24:A25"/>
    <mergeCell ref="F24:F25"/>
    <mergeCell ref="G24:G25"/>
    <mergeCell ref="H24:H25"/>
    <mergeCell ref="I24:I25"/>
    <mergeCell ref="A21:E21"/>
    <mergeCell ref="F21:M21"/>
    <mergeCell ref="A22:A23"/>
    <mergeCell ref="B22:B23"/>
    <mergeCell ref="C22:C23"/>
    <mergeCell ref="D22:D23"/>
    <mergeCell ref="E22:E23"/>
    <mergeCell ref="F22:F23"/>
    <mergeCell ref="G22:G23"/>
    <mergeCell ref="H22:H23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</mergeCells>
  <phoneticPr fontId="1" type="noConversion"/>
  <conditionalFormatting sqref="J14 J19">
    <cfRule type="cellIs" dxfId="187" priority="45" operator="lessThan">
      <formula>10</formula>
    </cfRule>
  </conditionalFormatting>
  <conditionalFormatting sqref="J14">
    <cfRule type="cellIs" dxfId="186" priority="44" operator="equal">
      <formula>-36</formula>
    </cfRule>
  </conditionalFormatting>
  <conditionalFormatting sqref="L14 L19">
    <cfRule type="cellIs" dxfId="185" priority="43" operator="equal">
      <formula>"Fail"</formula>
    </cfRule>
  </conditionalFormatting>
  <conditionalFormatting sqref="J24">
    <cfRule type="cellIs" dxfId="184" priority="41" operator="equal">
      <formula>-30</formula>
    </cfRule>
    <cfRule type="cellIs" dxfId="183" priority="42" operator="lessThan">
      <formula>10</formula>
    </cfRule>
  </conditionalFormatting>
  <conditionalFormatting sqref="L24">
    <cfRule type="cellIs" dxfId="182" priority="40" operator="equal">
      <formula>"Fail"</formula>
    </cfRule>
  </conditionalFormatting>
  <conditionalFormatting sqref="L26">
    <cfRule type="cellIs" dxfId="181" priority="39" operator="equal">
      <formula>"Fail"</formula>
    </cfRule>
  </conditionalFormatting>
  <conditionalFormatting sqref="L28">
    <cfRule type="cellIs" dxfId="180" priority="38" operator="equal">
      <formula>"Fail"</formula>
    </cfRule>
  </conditionalFormatting>
  <conditionalFormatting sqref="L30">
    <cfRule type="cellIs" dxfId="179" priority="37" operator="equal">
      <formula>"Fail"</formula>
    </cfRule>
  </conditionalFormatting>
  <conditionalFormatting sqref="V33">
    <cfRule type="cellIs" dxfId="178" priority="36" operator="equal">
      <formula>"Fail"</formula>
    </cfRule>
  </conditionalFormatting>
  <conditionalFormatting sqref="L14:L15 L19:L20 L24:L31">
    <cfRule type="cellIs" dxfId="177" priority="35" operator="equal">
      <formula>"Pass"</formula>
    </cfRule>
  </conditionalFormatting>
  <conditionalFormatting sqref="L37">
    <cfRule type="cellIs" dxfId="176" priority="34" operator="equal">
      <formula>"Fail"</formula>
    </cfRule>
  </conditionalFormatting>
  <conditionalFormatting sqref="L37:L38">
    <cfRule type="cellIs" dxfId="175" priority="33" operator="equal">
      <formula>"Pass"</formula>
    </cfRule>
  </conditionalFormatting>
  <conditionalFormatting sqref="L42">
    <cfRule type="cellIs" dxfId="174" priority="32" operator="equal">
      <formula>"Fail"</formula>
    </cfRule>
  </conditionalFormatting>
  <conditionalFormatting sqref="L42:L43">
    <cfRule type="cellIs" dxfId="173" priority="31" operator="equal">
      <formula>"Pass"</formula>
    </cfRule>
  </conditionalFormatting>
  <conditionalFormatting sqref="B14:D15">
    <cfRule type="top10" dxfId="172" priority="30" rank="1"/>
  </conditionalFormatting>
  <conditionalFormatting sqref="B19:D20">
    <cfRule type="top10" dxfId="171" priority="29" rank="1"/>
  </conditionalFormatting>
  <conditionalFormatting sqref="B24:D25">
    <cfRule type="top10" dxfId="170" priority="28" rank="1"/>
  </conditionalFormatting>
  <conditionalFormatting sqref="B26:D27">
    <cfRule type="top10" dxfId="169" priority="27" rank="1"/>
  </conditionalFormatting>
  <conditionalFormatting sqref="B28:D29">
    <cfRule type="top10" dxfId="168" priority="26" rank="1"/>
  </conditionalFormatting>
  <conditionalFormatting sqref="B30:D31">
    <cfRule type="top10" dxfId="167" priority="25" rank="1"/>
  </conditionalFormatting>
  <conditionalFormatting sqref="J26 J28 J30">
    <cfRule type="cellIs" dxfId="166" priority="23" operator="equal">
      <formula>-30</formula>
    </cfRule>
    <cfRule type="cellIs" dxfId="165" priority="24" operator="lessThan">
      <formula>10</formula>
    </cfRule>
  </conditionalFormatting>
  <conditionalFormatting sqref="J56 J61">
    <cfRule type="cellIs" dxfId="164" priority="22" operator="lessThan">
      <formula>10</formula>
    </cfRule>
  </conditionalFormatting>
  <conditionalFormatting sqref="J56">
    <cfRule type="cellIs" dxfId="163" priority="21" operator="equal">
      <formula>-36</formula>
    </cfRule>
  </conditionalFormatting>
  <conditionalFormatting sqref="L56 L61">
    <cfRule type="cellIs" dxfId="162" priority="20" operator="equal">
      <formula>"Fail"</formula>
    </cfRule>
  </conditionalFormatting>
  <conditionalFormatting sqref="J66">
    <cfRule type="cellIs" dxfId="161" priority="18" operator="equal">
      <formula>-30</formula>
    </cfRule>
    <cfRule type="cellIs" dxfId="160" priority="19" operator="lessThan">
      <formula>10</formula>
    </cfRule>
  </conditionalFormatting>
  <conditionalFormatting sqref="L66">
    <cfRule type="cellIs" dxfId="159" priority="17" operator="equal">
      <formula>"Fail"</formula>
    </cfRule>
  </conditionalFormatting>
  <conditionalFormatting sqref="L68">
    <cfRule type="cellIs" dxfId="158" priority="16" operator="equal">
      <formula>"Fail"</formula>
    </cfRule>
  </conditionalFormatting>
  <conditionalFormatting sqref="L70">
    <cfRule type="cellIs" dxfId="157" priority="15" operator="equal">
      <formula>"Fail"</formula>
    </cfRule>
  </conditionalFormatting>
  <conditionalFormatting sqref="L72">
    <cfRule type="cellIs" dxfId="156" priority="14" operator="equal">
      <formula>"Fail"</formula>
    </cfRule>
  </conditionalFormatting>
  <conditionalFormatting sqref="L56:L57 L61:L62 L66:L73">
    <cfRule type="cellIs" dxfId="155" priority="13" operator="equal">
      <formula>"Pass"</formula>
    </cfRule>
  </conditionalFormatting>
  <conditionalFormatting sqref="L79">
    <cfRule type="cellIs" dxfId="154" priority="12" operator="equal">
      <formula>"Fail"</formula>
    </cfRule>
  </conditionalFormatting>
  <conditionalFormatting sqref="L79:L80">
    <cfRule type="cellIs" dxfId="153" priority="11" operator="equal">
      <formula>"Pass"</formula>
    </cfRule>
  </conditionalFormatting>
  <conditionalFormatting sqref="L84">
    <cfRule type="cellIs" dxfId="152" priority="10" operator="equal">
      <formula>"Fail"</formula>
    </cfRule>
  </conditionalFormatting>
  <conditionalFormatting sqref="L84:L85">
    <cfRule type="cellIs" dxfId="151" priority="9" operator="equal">
      <formula>"Pass"</formula>
    </cfRule>
  </conditionalFormatting>
  <conditionalFormatting sqref="B56:D57">
    <cfRule type="top10" dxfId="150" priority="8" rank="1"/>
  </conditionalFormatting>
  <conditionalFormatting sqref="B61:D62">
    <cfRule type="top10" dxfId="149" priority="7" rank="1"/>
  </conditionalFormatting>
  <conditionalFormatting sqref="B66:D73">
    <cfRule type="top10" dxfId="148" priority="6" rank="1"/>
  </conditionalFormatting>
  <conditionalFormatting sqref="B68:D69">
    <cfRule type="top10" dxfId="147" priority="5" rank="1"/>
  </conditionalFormatting>
  <conditionalFormatting sqref="B70:D71">
    <cfRule type="top10" dxfId="146" priority="4" rank="1"/>
  </conditionalFormatting>
  <conditionalFormatting sqref="B72:D73">
    <cfRule type="top10" dxfId="145" priority="3" rank="1"/>
  </conditionalFormatting>
  <conditionalFormatting sqref="J68 J70 J72">
    <cfRule type="cellIs" dxfId="144" priority="1" operator="equal">
      <formula>-30</formula>
    </cfRule>
    <cfRule type="cellIs" dxfId="143" priority="2" operator="lessThan">
      <formula>10</formula>
    </cfRule>
  </conditionalFormatting>
  <dataValidations count="1">
    <dataValidation type="list" allowBlank="1" showInputMessage="1" showErrorMessage="1" sqref="M14 M19 M30 M24 M26 M28 M37:M38 M56 M61 M72 M66 M68 M70 M84:M85 M79:M80 M42:M43" xr:uid="{78E6F756-39DF-47E0-A614-440980837AAE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84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946B-9793-4586-993C-5043008006AA}">
  <dimension ref="A1:P85"/>
  <sheetViews>
    <sheetView view="pageBreakPreview" zoomScale="85" zoomScaleNormal="100" zoomScaleSheetLayoutView="85" workbookViewId="0">
      <selection activeCell="F51" sqref="F51:M52"/>
    </sheetView>
  </sheetViews>
  <sheetFormatPr defaultRowHeight="16.5" outlineLevelCol="1" x14ac:dyDescent="0.3"/>
  <cols>
    <col min="1" max="11" width="12.625" style="6" customWidth="1"/>
    <col min="12" max="13" width="12.625" style="6" hidden="1" customWidth="1" outlineLevel="1"/>
    <col min="14" max="14" width="12.625" style="6" customWidth="1" collapsed="1"/>
    <col min="15" max="16" width="12.625" style="6" customWidth="1"/>
    <col min="17" max="22" width="12.625" customWidth="1"/>
  </cols>
  <sheetData>
    <row r="1" spans="1:13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3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46</v>
      </c>
      <c r="H2" s="28"/>
      <c r="I2" s="28"/>
      <c r="J2" s="28"/>
      <c r="K2" s="28"/>
      <c r="L2" s="28"/>
      <c r="M2" s="29"/>
    </row>
    <row r="3" spans="1:13" ht="24.95" customHeight="1" x14ac:dyDescent="0.3">
      <c r="A3" s="30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3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3" ht="20.100000000000001" customHeight="1" x14ac:dyDescent="0.3">
      <c r="A7" s="62" t="s">
        <v>74</v>
      </c>
      <c r="B7" s="36"/>
      <c r="C7" s="64"/>
      <c r="D7" s="36"/>
      <c r="E7" s="36"/>
      <c r="F7" s="36"/>
      <c r="G7" s="36"/>
      <c r="H7" s="37">
        <v>30</v>
      </c>
      <c r="I7" s="37"/>
      <c r="J7" s="39"/>
      <c r="K7" s="40"/>
      <c r="L7" s="40"/>
      <c r="M7" s="41"/>
    </row>
    <row r="8" spans="1:13" ht="20.100000000000001" customHeight="1" thickBot="1" x14ac:dyDescent="0.35">
      <c r="A8" s="63"/>
      <c r="B8" s="37"/>
      <c r="C8" s="65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3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3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</row>
    <row r="11" spans="1:13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3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85" t="s">
        <v>18</v>
      </c>
      <c r="M12" s="87" t="s">
        <v>8</v>
      </c>
    </row>
    <row r="13" spans="1:13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86"/>
      <c r="M13" s="88"/>
    </row>
    <row r="14" spans="1:13" ht="21.95" customHeight="1" x14ac:dyDescent="0.3">
      <c r="A14" s="95" t="s">
        <v>26</v>
      </c>
      <c r="B14" s="3"/>
      <c r="C14" s="3"/>
      <c r="D14" s="3"/>
      <c r="E14" s="11" t="s">
        <v>27</v>
      </c>
      <c r="F14" s="97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91" t="str">
        <f>IF(OR(COUNTIF(B14:D15, "-")+COUNTBLANK(B14:D15)=6), "Pass", IF(H14 &gt; I14, "Fail", IF(J14 &lt; 3, "Margin 부족", "Pass")))</f>
        <v>Pass</v>
      </c>
      <c r="M14" s="93" t="s">
        <v>12</v>
      </c>
    </row>
    <row r="15" spans="1:13" ht="21.95" customHeight="1" thickBot="1" x14ac:dyDescent="0.35">
      <c r="A15" s="96"/>
      <c r="B15" s="7"/>
      <c r="C15" s="7"/>
      <c r="D15" s="7"/>
      <c r="E15" s="12" t="s">
        <v>28</v>
      </c>
      <c r="F15" s="98"/>
      <c r="G15" s="100"/>
      <c r="H15" s="102"/>
      <c r="I15" s="104"/>
      <c r="J15" s="106"/>
      <c r="K15" s="90"/>
      <c r="L15" s="92"/>
      <c r="M15" s="94"/>
    </row>
    <row r="16" spans="1:13" ht="21.95" customHeight="1" thickBot="1" x14ac:dyDescent="0.35">
      <c r="A16" s="107" t="s">
        <v>30</v>
      </c>
      <c r="B16" s="108"/>
      <c r="C16" s="108"/>
      <c r="D16" s="108"/>
      <c r="E16" s="109"/>
      <c r="F16" s="108" t="s">
        <v>30</v>
      </c>
      <c r="G16" s="108"/>
      <c r="H16" s="108"/>
      <c r="I16" s="108"/>
      <c r="J16" s="70"/>
      <c r="K16" s="108"/>
      <c r="L16" s="108"/>
      <c r="M16" s="108"/>
    </row>
    <row r="17" spans="1:16" ht="21.95" customHeight="1" thickTop="1" x14ac:dyDescent="0.3">
      <c r="A17" s="71" t="s">
        <v>43</v>
      </c>
      <c r="B17" s="73" t="s">
        <v>14</v>
      </c>
      <c r="C17" s="73" t="s">
        <v>15</v>
      </c>
      <c r="D17" s="73" t="s">
        <v>16</v>
      </c>
      <c r="E17" s="75" t="s">
        <v>17</v>
      </c>
      <c r="F17" s="71" t="s">
        <v>43</v>
      </c>
      <c r="G17" s="77" t="s">
        <v>17</v>
      </c>
      <c r="H17" s="77" t="s">
        <v>29</v>
      </c>
      <c r="I17" s="79" t="s">
        <v>41</v>
      </c>
      <c r="J17" s="81" t="s">
        <v>42</v>
      </c>
      <c r="K17" s="83" t="s">
        <v>10</v>
      </c>
      <c r="L17" s="85" t="s">
        <v>18</v>
      </c>
      <c r="M17" s="87" t="s">
        <v>8</v>
      </c>
    </row>
    <row r="18" spans="1:16" ht="21.95" customHeight="1" x14ac:dyDescent="0.3">
      <c r="A18" s="72"/>
      <c r="B18" s="74"/>
      <c r="C18" s="74"/>
      <c r="D18" s="74"/>
      <c r="E18" s="76"/>
      <c r="F18" s="72"/>
      <c r="G18" s="78"/>
      <c r="H18" s="78"/>
      <c r="I18" s="80"/>
      <c r="J18" s="82"/>
      <c r="K18" s="84"/>
      <c r="L18" s="86"/>
      <c r="M18" s="88"/>
    </row>
    <row r="19" spans="1:16" ht="21.95" customHeight="1" x14ac:dyDescent="0.3">
      <c r="A19" s="110" t="s">
        <v>26</v>
      </c>
      <c r="B19" s="3"/>
      <c r="C19" s="3"/>
      <c r="D19" s="3"/>
      <c r="E19" s="11" t="s">
        <v>27</v>
      </c>
      <c r="F19" s="112" t="str">
        <f>$A$19</f>
        <v>Spurious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05" t="str">
        <f>IF(OR(I19-H19&gt;10,I19-H19=-30),"No Peak Found",I19-H19)</f>
        <v>No Peak Found</v>
      </c>
      <c r="K19" s="89" t="s">
        <v>9</v>
      </c>
      <c r="L19" s="91" t="str">
        <f>IF(OR(COUNTIF(B19:D20, "-")+COUNTBLANK(B19:D20)=6), "Pass", IF(H19 &gt; I19, "Fail", IF(J19 &lt; 3, "Margin 부족", "Pass")))</f>
        <v>Pass</v>
      </c>
      <c r="M19" s="93" t="s">
        <v>12</v>
      </c>
    </row>
    <row r="20" spans="1:16" ht="21.95" customHeight="1" thickBot="1" x14ac:dyDescent="0.35">
      <c r="A20" s="111"/>
      <c r="B20" s="7"/>
      <c r="C20" s="7"/>
      <c r="D20" s="7"/>
      <c r="E20" s="12" t="s">
        <v>28</v>
      </c>
      <c r="F20" s="113"/>
      <c r="G20" s="114"/>
      <c r="H20" s="115"/>
      <c r="I20" s="116"/>
      <c r="J20" s="106"/>
      <c r="K20" s="117"/>
      <c r="L20" s="118"/>
      <c r="M20" s="119"/>
    </row>
    <row r="21" spans="1:16" ht="21.95" customHeight="1" thickBot="1" x14ac:dyDescent="0.35">
      <c r="A21" s="120" t="s">
        <v>31</v>
      </c>
      <c r="B21" s="121"/>
      <c r="C21" s="121"/>
      <c r="D21" s="121"/>
      <c r="E21" s="121"/>
      <c r="F21" s="122" t="s">
        <v>31</v>
      </c>
      <c r="G21" s="123"/>
      <c r="H21" s="123"/>
      <c r="I21" s="123"/>
      <c r="J21" s="70"/>
      <c r="K21" s="123"/>
      <c r="L21" s="124"/>
      <c r="M21" s="125"/>
    </row>
    <row r="22" spans="1:16" ht="21.95" customHeight="1" thickTop="1" x14ac:dyDescent="0.3">
      <c r="A22" s="126" t="s">
        <v>43</v>
      </c>
      <c r="B22" s="128" t="s">
        <v>14</v>
      </c>
      <c r="C22" s="128" t="s">
        <v>15</v>
      </c>
      <c r="D22" s="128" t="s">
        <v>16</v>
      </c>
      <c r="E22" s="130" t="s">
        <v>17</v>
      </c>
      <c r="F22" s="126" t="s">
        <v>43</v>
      </c>
      <c r="G22" s="132" t="s">
        <v>17</v>
      </c>
      <c r="H22" s="132" t="s">
        <v>29</v>
      </c>
      <c r="I22" s="133" t="s">
        <v>41</v>
      </c>
      <c r="J22" s="81" t="s">
        <v>42</v>
      </c>
      <c r="K22" s="134" t="s">
        <v>10</v>
      </c>
      <c r="L22" s="136" t="s">
        <v>18</v>
      </c>
      <c r="M22" s="138" t="s">
        <v>8</v>
      </c>
    </row>
    <row r="23" spans="1:16" ht="21.75" customHeight="1" x14ac:dyDescent="0.3">
      <c r="A23" s="127"/>
      <c r="B23" s="129"/>
      <c r="C23" s="129"/>
      <c r="D23" s="129"/>
      <c r="E23" s="131"/>
      <c r="F23" s="127"/>
      <c r="G23" s="78"/>
      <c r="H23" s="78"/>
      <c r="I23" s="80"/>
      <c r="J23" s="82"/>
      <c r="K23" s="135"/>
      <c r="L23" s="137"/>
      <c r="M23" s="139"/>
    </row>
    <row r="24" spans="1:16" ht="21.95" customHeight="1" x14ac:dyDescent="0.3">
      <c r="A24" s="140">
        <f>J7*2</f>
        <v>0</v>
      </c>
      <c r="B24" s="4"/>
      <c r="C24" s="4"/>
      <c r="D24" s="4"/>
      <c r="E24" s="13" t="s">
        <v>1</v>
      </c>
      <c r="F24" s="142">
        <f>$A$24</f>
        <v>0</v>
      </c>
      <c r="G24" s="99" t="str">
        <f>IF(COUNT(B24:D24)=0, "H", IF(COUNT(B25:D25)=0, "V", IF(MAX(B24:D24) &gt;= MAX(B25:D25), "V", "H")))</f>
        <v>H</v>
      </c>
      <c r="H24" s="101">
        <f>MAX(B24:D25)</f>
        <v>0</v>
      </c>
      <c r="I24" s="103">
        <v>-30</v>
      </c>
      <c r="J24" s="143" t="str">
        <f>IF(OR(I24-H24&gt;10,I24-H24=-30),"No Peak Found",I24-H24)</f>
        <v>No Peak Found</v>
      </c>
      <c r="K24" s="144" t="s">
        <v>9</v>
      </c>
      <c r="L24" s="117" t="str">
        <f>IF(OR(COUNTIF(B24:D25, "-")+COUNTBLANK(B24:D25)=6), "Pass", IF(H24 &gt; I24, "Fail", IF(J24 &lt; 3, "Margin 부족", "Pass")))</f>
        <v>Pass</v>
      </c>
      <c r="M24" s="146" t="s">
        <v>11</v>
      </c>
    </row>
    <row r="25" spans="1:16" ht="21.95" customHeight="1" x14ac:dyDescent="0.3">
      <c r="A25" s="141"/>
      <c r="B25" s="4"/>
      <c r="C25" s="4"/>
      <c r="D25" s="4"/>
      <c r="E25" s="13" t="s">
        <v>0</v>
      </c>
      <c r="F25" s="142"/>
      <c r="G25" s="99"/>
      <c r="H25" s="101"/>
      <c r="I25" s="103"/>
      <c r="J25" s="143"/>
      <c r="K25" s="144"/>
      <c r="L25" s="145"/>
      <c r="M25" s="147"/>
    </row>
    <row r="26" spans="1:16" ht="21.95" customHeight="1" x14ac:dyDescent="0.3">
      <c r="A26" s="140">
        <f>J7*3</f>
        <v>0</v>
      </c>
      <c r="B26" s="4"/>
      <c r="C26" s="4"/>
      <c r="D26" s="4"/>
      <c r="E26" s="13" t="s">
        <v>1</v>
      </c>
      <c r="F26" s="148">
        <f>$A$26</f>
        <v>0</v>
      </c>
      <c r="G26" s="99" t="str">
        <f>IF(COUNT(B26:D26)=0, "H", IF(COUNT(B27:D27)=0, "V", IF(MAX(B26:D26) &gt;= MAX(B27:D27), "V", "H")))</f>
        <v>H</v>
      </c>
      <c r="H26" s="101">
        <f>MAX(B26:D27)</f>
        <v>0</v>
      </c>
      <c r="I26" s="149">
        <v>-30</v>
      </c>
      <c r="J26" s="143" t="str">
        <f t="shared" ref="J26" si="0">IF(OR(I26-H26&gt;10,I26-H26=-30),"No Peak Found",I26-H26)</f>
        <v>No Peak Found</v>
      </c>
      <c r="K26" s="150" t="s">
        <v>9</v>
      </c>
      <c r="L26" s="117" t="str">
        <f>IF(OR(COUNTIF(B26:D27, "-")+COUNTBLANK(B26:D27)=6), "Pass", IF(H26 &gt; I26, "Fail", IF(J26 &lt; 3, "Margin 부족", "Pass")))</f>
        <v>Pass</v>
      </c>
      <c r="M26" s="146" t="s">
        <v>11</v>
      </c>
    </row>
    <row r="27" spans="1:16" ht="21.95" customHeight="1" x14ac:dyDescent="0.3">
      <c r="A27" s="141"/>
      <c r="B27" s="4"/>
      <c r="C27" s="4"/>
      <c r="D27" s="4"/>
      <c r="E27" s="13" t="s">
        <v>0</v>
      </c>
      <c r="F27" s="148"/>
      <c r="G27" s="99"/>
      <c r="H27" s="101"/>
      <c r="I27" s="149"/>
      <c r="J27" s="143"/>
      <c r="K27" s="150"/>
      <c r="L27" s="145"/>
      <c r="M27" s="147"/>
      <c r="N27" s="8" t="s">
        <v>8</v>
      </c>
    </row>
    <row r="28" spans="1:16" ht="21.95" customHeight="1" x14ac:dyDescent="0.3">
      <c r="A28" s="140">
        <f>J7*4</f>
        <v>0</v>
      </c>
      <c r="B28" s="4"/>
      <c r="C28" s="4"/>
      <c r="D28" s="4"/>
      <c r="E28" s="13" t="s">
        <v>1</v>
      </c>
      <c r="F28" s="142">
        <f>$A$28</f>
        <v>0</v>
      </c>
      <c r="G28" s="99" t="str">
        <f>IF(COUNT(B28:D28)=0, "H", IF(COUNT(B29:D29)=0, "V", IF(MAX(B28:D28) &gt;= MAX(B29:D29), "V", "H")))</f>
        <v>H</v>
      </c>
      <c r="H28" s="101">
        <f>MAX(B28:D29)</f>
        <v>0</v>
      </c>
      <c r="I28" s="149">
        <v>-30</v>
      </c>
      <c r="J28" s="143" t="str">
        <f t="shared" ref="J28" si="1">IF(OR(I28-H28&gt;10,I28-H28=-30),"No Peak Found",I28-H28)</f>
        <v>No Peak Found</v>
      </c>
      <c r="K28" s="171" t="s">
        <v>9</v>
      </c>
      <c r="L28" s="117" t="str">
        <f>IF(OR(COUNTIF(B28:D29, "-")+COUNTBLANK(B28:D29)=6), "Pass", IF(H28 &gt; I28, "Fail", IF(J28 &lt; 3, "Margin 부족", "Pass")))</f>
        <v>Pass</v>
      </c>
      <c r="M28" s="146" t="s">
        <v>11</v>
      </c>
      <c r="N28" s="163" t="str">
        <f>"1. Sub6 NR Band : " &amp; VALUE(RIGHT(A7, LEN(A7)-1))</f>
        <v>1. Sub6 NR Band : 41</v>
      </c>
      <c r="O28" s="164"/>
      <c r="P28" s="164"/>
    </row>
    <row r="29" spans="1:16" ht="21.95" customHeight="1" x14ac:dyDescent="0.3">
      <c r="A29" s="141"/>
      <c r="B29" s="4"/>
      <c r="C29" s="4"/>
      <c r="D29" s="4"/>
      <c r="E29" s="13" t="s">
        <v>0</v>
      </c>
      <c r="F29" s="142"/>
      <c r="G29" s="99"/>
      <c r="H29" s="101"/>
      <c r="I29" s="149"/>
      <c r="J29" s="143"/>
      <c r="K29" s="171"/>
      <c r="L29" s="145"/>
      <c r="M29" s="147"/>
      <c r="N29" s="152" t="str">
        <f>"2. SCS : " &amp; H7 &amp; " kHz"</f>
        <v>2. SCS : 30 kHz</v>
      </c>
      <c r="O29" s="153"/>
      <c r="P29" s="153"/>
    </row>
    <row r="30" spans="1:16" ht="21.95" customHeight="1" x14ac:dyDescent="0.3">
      <c r="A30" s="140">
        <f>J7*5</f>
        <v>0</v>
      </c>
      <c r="B30" s="4"/>
      <c r="C30" s="4"/>
      <c r="D30" s="4"/>
      <c r="E30" s="13" t="s">
        <v>1</v>
      </c>
      <c r="F30" s="148">
        <f>$A$30</f>
        <v>0</v>
      </c>
      <c r="G30" s="99" t="str">
        <f>IF(COUNT(B30:D30)=0, "H", IF(COUNT(B31:D31)=0, "V", IF(MAX(B30:D30) &gt;= MAX(B31:D31), "V", "H")))</f>
        <v>H</v>
      </c>
      <c r="H30" s="101">
        <f>MAX(B30:D31)</f>
        <v>0</v>
      </c>
      <c r="I30" s="149">
        <v>-30</v>
      </c>
      <c r="J30" s="143" t="str">
        <f t="shared" ref="J30" si="2">IF(OR(I30-H30&gt;10,I30-H30=-30),"No Peak Found",I30-H30)</f>
        <v>No Peak Found</v>
      </c>
      <c r="K30" s="171" t="s">
        <v>9</v>
      </c>
      <c r="L30" s="117" t="str">
        <f>IF(OR(COUNTIF(B30:D31, "-")+COUNTBLANK(B30:D31)=6), "Pass", IF(H30 &gt; I30, "Fail", IF(J30 &lt; 3, "Margin 부족", "Pass")))</f>
        <v>Pass</v>
      </c>
      <c r="M30" s="146" t="s">
        <v>11</v>
      </c>
      <c r="N30" s="152" t="str">
        <f>"3. The test was performed the " &amp; I7 &amp; " antenna."</f>
        <v>3. The test was performed the  antenna.</v>
      </c>
      <c r="O30" s="153"/>
      <c r="P30" s="153"/>
    </row>
    <row r="31" spans="1:16" ht="21.95" customHeight="1" thickBot="1" x14ac:dyDescent="0.35">
      <c r="A31" s="165"/>
      <c r="B31" s="9"/>
      <c r="C31" s="9"/>
      <c r="D31" s="9"/>
      <c r="E31" s="14" t="s">
        <v>28</v>
      </c>
      <c r="F31" s="166"/>
      <c r="G31" s="167"/>
      <c r="H31" s="168"/>
      <c r="I31" s="169"/>
      <c r="J31" s="170"/>
      <c r="K31" s="172"/>
      <c r="L31" s="173"/>
      <c r="M31" s="151"/>
      <c r="N31" s="152" t="str">
        <f>"4. " &amp; LEFT(A9, FIND(" ", A9 &amp; " ") - 1) &amp; " Mode Test."</f>
        <v>4. NSA Mode Test.</v>
      </c>
      <c r="O31" s="154"/>
      <c r="P31" s="154"/>
    </row>
    <row r="32" spans="1:16" ht="24.95" customHeight="1" x14ac:dyDescent="0.3">
      <c r="A32" s="155" t="s">
        <v>32</v>
      </c>
      <c r="B32" s="156"/>
      <c r="C32" s="156"/>
      <c r="D32" s="156"/>
      <c r="E32" s="157"/>
      <c r="F32" s="159" t="s">
        <v>49</v>
      </c>
      <c r="G32" s="159"/>
      <c r="H32" s="159"/>
      <c r="I32" s="159"/>
      <c r="J32" s="159"/>
      <c r="K32" s="159"/>
      <c r="L32" s="159"/>
      <c r="M32" s="160"/>
    </row>
    <row r="33" spans="1:13" ht="24.95" customHeight="1" x14ac:dyDescent="0.3">
      <c r="A33" s="158"/>
      <c r="B33" s="156"/>
      <c r="C33" s="156"/>
      <c r="D33" s="156"/>
      <c r="E33" s="157"/>
      <c r="F33" s="161"/>
      <c r="G33" s="161"/>
      <c r="H33" s="161"/>
      <c r="I33" s="161"/>
      <c r="J33" s="161"/>
      <c r="K33" s="161"/>
      <c r="L33" s="161"/>
      <c r="M33" s="162"/>
    </row>
    <row r="34" spans="1:13" ht="21.95" customHeight="1" thickBot="1" x14ac:dyDescent="0.35">
      <c r="A34" s="174" t="s">
        <v>6</v>
      </c>
      <c r="B34" s="175"/>
      <c r="C34" s="175"/>
      <c r="D34" s="175"/>
      <c r="E34" s="176"/>
      <c r="F34" s="177" t="s">
        <v>6</v>
      </c>
      <c r="G34" s="177"/>
      <c r="H34" s="177"/>
      <c r="I34" s="177"/>
      <c r="J34" s="177"/>
      <c r="K34" s="177"/>
      <c r="L34" s="177"/>
      <c r="M34" s="177"/>
    </row>
    <row r="35" spans="1:13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85" t="s">
        <v>18</v>
      </c>
      <c r="M35" s="87" t="s">
        <v>8</v>
      </c>
    </row>
    <row r="36" spans="1:13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86"/>
      <c r="M36" s="88"/>
    </row>
    <row r="37" spans="1:13" ht="21.95" customHeight="1" x14ac:dyDescent="0.3">
      <c r="A37" s="189" t="s">
        <v>26</v>
      </c>
      <c r="B37" s="10"/>
      <c r="C37" s="1"/>
      <c r="D37" s="1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-57</v>
      </c>
      <c r="J37" s="178" t="str">
        <f>IF(OR(I37-H37&gt;10,I37-H37=-57),"No Peak Found",I37-H37)</f>
        <v>No Peak Found</v>
      </c>
      <c r="K37" s="180" t="s">
        <v>9</v>
      </c>
      <c r="L37" s="91" t="str">
        <f>IF(OR(COUNTIF(B37:D38, "-")+COUNTBLANK(B37:D38)=6), "Pass", IF(H37 &gt; I37, "Fail", IF(J37 &lt; 3, "Margin 부족", "Pass")))</f>
        <v>Pass</v>
      </c>
      <c r="M37" s="182" t="s">
        <v>12</v>
      </c>
    </row>
    <row r="38" spans="1:13" ht="21.95" customHeight="1" thickBot="1" x14ac:dyDescent="0.35">
      <c r="A38" s="190"/>
      <c r="B38" s="2"/>
      <c r="C38" s="2"/>
      <c r="D38" s="2"/>
      <c r="E38" s="12" t="s">
        <v>28</v>
      </c>
      <c r="F38" s="192"/>
      <c r="G38" s="194"/>
      <c r="H38" s="196"/>
      <c r="I38" s="198"/>
      <c r="J38" s="179"/>
      <c r="K38" s="181"/>
      <c r="L38" s="92"/>
      <c r="M38" s="183"/>
    </row>
    <row r="39" spans="1:13" ht="21.95" customHeight="1" thickBot="1" x14ac:dyDescent="0.35">
      <c r="A39" s="184" t="s">
        <v>33</v>
      </c>
      <c r="B39" s="185"/>
      <c r="C39" s="185"/>
      <c r="D39" s="185"/>
      <c r="E39" s="186"/>
      <c r="F39" s="70" t="s">
        <v>33</v>
      </c>
      <c r="G39" s="70"/>
      <c r="H39" s="70"/>
      <c r="I39" s="70"/>
      <c r="J39" s="70"/>
      <c r="K39" s="70"/>
      <c r="L39" s="70"/>
      <c r="M39" s="70"/>
    </row>
    <row r="40" spans="1:13" ht="21.95" customHeight="1" thickTop="1" x14ac:dyDescent="0.3">
      <c r="A40" s="71" t="s">
        <v>43</v>
      </c>
      <c r="B40" s="73" t="s">
        <v>14</v>
      </c>
      <c r="C40" s="73" t="s">
        <v>15</v>
      </c>
      <c r="D40" s="73" t="s">
        <v>16</v>
      </c>
      <c r="E40" s="75" t="s">
        <v>17</v>
      </c>
      <c r="F40" s="71" t="s">
        <v>43</v>
      </c>
      <c r="G40" s="77" t="s">
        <v>17</v>
      </c>
      <c r="H40" s="77" t="s">
        <v>29</v>
      </c>
      <c r="I40" s="79" t="s">
        <v>41</v>
      </c>
      <c r="J40" s="81" t="s">
        <v>42</v>
      </c>
      <c r="K40" s="187" t="s">
        <v>10</v>
      </c>
      <c r="L40" s="85" t="s">
        <v>18</v>
      </c>
      <c r="M40" s="87" t="s">
        <v>8</v>
      </c>
    </row>
    <row r="41" spans="1:13" ht="21.95" customHeight="1" x14ac:dyDescent="0.3">
      <c r="A41" s="72"/>
      <c r="B41" s="74"/>
      <c r="C41" s="74"/>
      <c r="D41" s="74"/>
      <c r="E41" s="76"/>
      <c r="F41" s="72"/>
      <c r="G41" s="78"/>
      <c r="H41" s="78"/>
      <c r="I41" s="80"/>
      <c r="J41" s="82"/>
      <c r="K41" s="188"/>
      <c r="L41" s="86"/>
      <c r="M41" s="88"/>
    </row>
    <row r="42" spans="1:13" ht="21.95" customHeight="1" x14ac:dyDescent="0.3">
      <c r="A42" s="189" t="s">
        <v>26</v>
      </c>
      <c r="B42" s="10"/>
      <c r="C42" s="1"/>
      <c r="D42" s="1"/>
      <c r="E42" s="11" t="s">
        <v>27</v>
      </c>
      <c r="F42" s="191" t="str">
        <f>A42</f>
        <v>Spurious</v>
      </c>
      <c r="G42" s="193" t="str">
        <f>IF(COUNT(B42:D42)=0, "H", IF(COUNT(B43:D43)=0, "V", IF(MAX(B42:D42) &gt;= MAX(B43:D43), "V", "H")))</f>
        <v>H</v>
      </c>
      <c r="H42" s="195">
        <f>MAX(B42:D43)</f>
        <v>0</v>
      </c>
      <c r="I42" s="197">
        <v>-47</v>
      </c>
      <c r="J42" s="178" t="str">
        <f>IF(OR(I42-H42&gt;10,I42-H42=-47),"No Peak Found",I42-H42)</f>
        <v>No Peak Found</v>
      </c>
      <c r="K42" s="180" t="s">
        <v>9</v>
      </c>
      <c r="L42" s="91" t="str">
        <f>IF(OR(COUNTIF(B42:D43, "-")+COUNTBLANK(B42:D43)=6), "Pass", IF(H42 &gt; I42, "Fail", IF(J42 &lt; 3, "Margin 부족", "Pass")))</f>
        <v>Pass</v>
      </c>
      <c r="M42" s="182" t="s">
        <v>12</v>
      </c>
    </row>
    <row r="43" spans="1:13" ht="21.95" customHeight="1" thickBot="1" x14ac:dyDescent="0.35">
      <c r="A43" s="190"/>
      <c r="B43" s="2"/>
      <c r="C43" s="2"/>
      <c r="D43" s="2"/>
      <c r="E43" s="12" t="s">
        <v>28</v>
      </c>
      <c r="F43" s="192"/>
      <c r="G43" s="194"/>
      <c r="H43" s="196"/>
      <c r="I43" s="198"/>
      <c r="J43" s="179"/>
      <c r="K43" s="181"/>
      <c r="L43" s="92"/>
      <c r="M43" s="183"/>
    </row>
    <row r="44" spans="1:13" ht="21.95" customHeight="1" thickBot="1" x14ac:dyDescent="0.35"/>
    <row r="45" spans="1:13" ht="21.95" customHeight="1" x14ac:dyDescent="0.3">
      <c r="A45" s="30" t="s">
        <v>67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2"/>
    </row>
    <row r="46" spans="1:13" ht="21.95" customHeight="1" thickBot="1" x14ac:dyDescent="0.35">
      <c r="A46" s="231"/>
      <c r="B46" s="232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4"/>
    </row>
    <row r="47" spans="1:13" ht="21.95" customHeight="1" x14ac:dyDescent="0.3">
      <c r="A47" s="235" t="s">
        <v>19</v>
      </c>
      <c r="B47" s="254" t="s">
        <v>68</v>
      </c>
      <c r="C47" s="236" t="s">
        <v>22</v>
      </c>
      <c r="D47" s="237" t="s">
        <v>23</v>
      </c>
      <c r="E47" s="237" t="s">
        <v>20</v>
      </c>
      <c r="F47" s="237" t="s">
        <v>21</v>
      </c>
      <c r="G47" s="237" t="s">
        <v>24</v>
      </c>
      <c r="H47" s="238" t="s">
        <v>39</v>
      </c>
      <c r="I47" s="239" t="s">
        <v>37</v>
      </c>
      <c r="J47" s="240" t="s">
        <v>40</v>
      </c>
      <c r="K47" s="241"/>
      <c r="L47" s="241"/>
      <c r="M47" s="242"/>
    </row>
    <row r="48" spans="1:13" ht="21.95" customHeight="1" x14ac:dyDescent="0.3">
      <c r="A48" s="243"/>
      <c r="B48" s="233"/>
      <c r="C48" s="229"/>
      <c r="D48" s="53"/>
      <c r="E48" s="53"/>
      <c r="F48" s="53"/>
      <c r="G48" s="53"/>
      <c r="H48" s="52"/>
      <c r="I48" s="52"/>
      <c r="J48" s="59"/>
      <c r="K48" s="60"/>
      <c r="L48" s="60"/>
      <c r="M48" s="244"/>
    </row>
    <row r="49" spans="1:16" ht="21.95" customHeight="1" x14ac:dyDescent="0.3">
      <c r="A49" s="245" t="s">
        <v>74</v>
      </c>
      <c r="B49" s="255"/>
      <c r="C49" s="230"/>
      <c r="D49" s="36"/>
      <c r="E49" s="36"/>
      <c r="F49" s="36"/>
      <c r="G49" s="36"/>
      <c r="H49" s="37">
        <v>30</v>
      </c>
      <c r="I49" s="37"/>
      <c r="J49" s="39"/>
      <c r="K49" s="40"/>
      <c r="L49" s="40"/>
      <c r="M49" s="246"/>
    </row>
    <row r="50" spans="1:16" ht="21.95" customHeight="1" thickBot="1" x14ac:dyDescent="0.35">
      <c r="A50" s="247"/>
      <c r="B50" s="256"/>
      <c r="C50" s="248"/>
      <c r="D50" s="249"/>
      <c r="E50" s="249"/>
      <c r="F50" s="249"/>
      <c r="G50" s="249"/>
      <c r="H50" s="250"/>
      <c r="I50" s="250"/>
      <c r="J50" s="251"/>
      <c r="K50" s="252"/>
      <c r="L50" s="252"/>
      <c r="M50" s="253"/>
    </row>
    <row r="51" spans="1:16" ht="21.95" customHeight="1" x14ac:dyDescent="0.3">
      <c r="A51" s="155" t="s">
        <v>44</v>
      </c>
      <c r="B51" s="159"/>
      <c r="C51" s="159"/>
      <c r="D51" s="159"/>
      <c r="E51" s="160"/>
      <c r="F51" s="155" t="s">
        <v>50</v>
      </c>
      <c r="G51" s="159"/>
      <c r="H51" s="159"/>
      <c r="I51" s="159"/>
      <c r="J51" s="159"/>
      <c r="K51" s="159"/>
      <c r="L51" s="159"/>
      <c r="M51" s="160"/>
    </row>
    <row r="52" spans="1:16" ht="21.95" customHeight="1" x14ac:dyDescent="0.3">
      <c r="A52" s="228"/>
      <c r="B52" s="161"/>
      <c r="C52" s="161"/>
      <c r="D52" s="161"/>
      <c r="E52" s="162"/>
      <c r="F52" s="228"/>
      <c r="G52" s="161"/>
      <c r="H52" s="161"/>
      <c r="I52" s="161"/>
      <c r="J52" s="161"/>
      <c r="K52" s="161"/>
      <c r="L52" s="161"/>
      <c r="M52" s="162"/>
    </row>
    <row r="53" spans="1:16" ht="21.95" customHeight="1" thickBot="1" x14ac:dyDescent="0.35">
      <c r="A53" s="67" t="s">
        <v>7</v>
      </c>
      <c r="B53" s="68"/>
      <c r="C53" s="68"/>
      <c r="D53" s="68"/>
      <c r="E53" s="69"/>
      <c r="F53" s="68" t="s">
        <v>7</v>
      </c>
      <c r="G53" s="68"/>
      <c r="H53" s="68"/>
      <c r="I53" s="68"/>
      <c r="J53" s="70"/>
      <c r="K53" s="68"/>
      <c r="L53" s="68"/>
      <c r="M53" s="69"/>
    </row>
    <row r="54" spans="1:16" ht="21.95" customHeight="1" thickTop="1" x14ac:dyDescent="0.3">
      <c r="A54" s="71" t="s">
        <v>43</v>
      </c>
      <c r="B54" s="73" t="s">
        <v>4</v>
      </c>
      <c r="C54" s="73" t="s">
        <v>15</v>
      </c>
      <c r="D54" s="73" t="s">
        <v>3</v>
      </c>
      <c r="E54" s="75" t="s">
        <v>2</v>
      </c>
      <c r="F54" s="71" t="s">
        <v>43</v>
      </c>
      <c r="G54" s="77" t="s">
        <v>17</v>
      </c>
      <c r="H54" s="77" t="s">
        <v>29</v>
      </c>
      <c r="I54" s="79" t="s">
        <v>41</v>
      </c>
      <c r="J54" s="81" t="s">
        <v>42</v>
      </c>
      <c r="K54" s="83" t="s">
        <v>10</v>
      </c>
      <c r="L54" s="85" t="s">
        <v>18</v>
      </c>
      <c r="M54" s="87" t="s">
        <v>8</v>
      </c>
    </row>
    <row r="55" spans="1:16" ht="21.95" customHeight="1" x14ac:dyDescent="0.3">
      <c r="A55" s="72"/>
      <c r="B55" s="74"/>
      <c r="C55" s="74"/>
      <c r="D55" s="74"/>
      <c r="E55" s="76"/>
      <c r="F55" s="72"/>
      <c r="G55" s="78"/>
      <c r="H55" s="78"/>
      <c r="I55" s="80"/>
      <c r="J55" s="82"/>
      <c r="K55" s="84"/>
      <c r="L55" s="86"/>
      <c r="M55" s="88"/>
    </row>
    <row r="56" spans="1:16" ht="21.95" customHeight="1" x14ac:dyDescent="0.3">
      <c r="A56" s="95" t="s">
        <v>26</v>
      </c>
      <c r="B56" s="3"/>
      <c r="C56" s="3"/>
      <c r="D56" s="3"/>
      <c r="E56" s="11" t="s">
        <v>27</v>
      </c>
      <c r="F56" s="97" t="str">
        <f>A56</f>
        <v>Spurious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-36</v>
      </c>
      <c r="J56" s="105" t="str">
        <f>IF(OR(I56-H56&gt;10,I56-H56=-36),"No Peak Found",I56-H56)</f>
        <v>No Peak Found</v>
      </c>
      <c r="K56" s="89" t="s">
        <v>9</v>
      </c>
      <c r="L56" s="91" t="str">
        <f>IF(OR(COUNTIF(B56:D57, "-")+COUNTBLANK(B56:D57)=6), "Pass", IF(H56 &gt; I56, "Fail", IF(J56 &lt; 3, "Margin 부족", "Pass")))</f>
        <v>Pass</v>
      </c>
      <c r="M56" s="93" t="s">
        <v>12</v>
      </c>
    </row>
    <row r="57" spans="1:16" ht="21.95" customHeight="1" thickBot="1" x14ac:dyDescent="0.35">
      <c r="A57" s="96"/>
      <c r="B57" s="7"/>
      <c r="C57" s="7"/>
      <c r="D57" s="7"/>
      <c r="E57" s="12" t="s">
        <v>28</v>
      </c>
      <c r="F57" s="98"/>
      <c r="G57" s="100"/>
      <c r="H57" s="102"/>
      <c r="I57" s="104"/>
      <c r="J57" s="106"/>
      <c r="K57" s="90"/>
      <c r="L57" s="92"/>
      <c r="M57" s="94"/>
    </row>
    <row r="58" spans="1:16" ht="21.95" customHeight="1" thickBot="1" x14ac:dyDescent="0.35">
      <c r="A58" s="107" t="s">
        <v>30</v>
      </c>
      <c r="B58" s="108"/>
      <c r="C58" s="108"/>
      <c r="D58" s="108"/>
      <c r="E58" s="109"/>
      <c r="F58" s="108" t="s">
        <v>30</v>
      </c>
      <c r="G58" s="108"/>
      <c r="H58" s="108"/>
      <c r="I58" s="108"/>
      <c r="J58" s="70"/>
      <c r="K58" s="108"/>
      <c r="L58" s="108"/>
      <c r="M58" s="108"/>
    </row>
    <row r="59" spans="1:16" ht="21.95" customHeight="1" thickTop="1" x14ac:dyDescent="0.3">
      <c r="A59" s="71" t="s">
        <v>43</v>
      </c>
      <c r="B59" s="73" t="s">
        <v>14</v>
      </c>
      <c r="C59" s="73" t="s">
        <v>15</v>
      </c>
      <c r="D59" s="73" t="s">
        <v>16</v>
      </c>
      <c r="E59" s="75" t="s">
        <v>17</v>
      </c>
      <c r="F59" s="71" t="s">
        <v>43</v>
      </c>
      <c r="G59" s="77" t="s">
        <v>17</v>
      </c>
      <c r="H59" s="77" t="s">
        <v>29</v>
      </c>
      <c r="I59" s="79" t="s">
        <v>41</v>
      </c>
      <c r="J59" s="81" t="s">
        <v>42</v>
      </c>
      <c r="K59" s="83" t="s">
        <v>10</v>
      </c>
      <c r="L59" s="85" t="s">
        <v>18</v>
      </c>
      <c r="M59" s="87" t="s">
        <v>8</v>
      </c>
    </row>
    <row r="60" spans="1:16" ht="21.95" customHeight="1" x14ac:dyDescent="0.3">
      <c r="A60" s="72"/>
      <c r="B60" s="74"/>
      <c r="C60" s="74"/>
      <c r="D60" s="74"/>
      <c r="E60" s="76"/>
      <c r="F60" s="72"/>
      <c r="G60" s="78"/>
      <c r="H60" s="78"/>
      <c r="I60" s="80"/>
      <c r="J60" s="82"/>
      <c r="K60" s="84"/>
      <c r="L60" s="86"/>
      <c r="M60" s="88"/>
    </row>
    <row r="61" spans="1:16" ht="21.95" customHeight="1" x14ac:dyDescent="0.3">
      <c r="A61" s="110" t="s">
        <v>26</v>
      </c>
      <c r="B61" s="3"/>
      <c r="C61" s="3"/>
      <c r="D61" s="3"/>
      <c r="E61" s="11" t="s">
        <v>27</v>
      </c>
      <c r="F61" s="112" t="str">
        <f>$A$19</f>
        <v>Spurious</v>
      </c>
      <c r="G61" s="99" t="str">
        <f>IF(COUNT(B61:D61)=0, "H", IF(COUNT(B62:D62)=0, "V", IF(MAX(B61:D61) &gt;= MAX(B62:D62), "V", "H")))</f>
        <v>H</v>
      </c>
      <c r="H61" s="101">
        <f>MAX(B61:D62)</f>
        <v>0</v>
      </c>
      <c r="I61" s="103">
        <v>-30</v>
      </c>
      <c r="J61" s="105" t="str">
        <f>IF(OR(I61-H61&gt;10,I61-H61=-30),"No Peak Found",I61-H61)</f>
        <v>No Peak Found</v>
      </c>
      <c r="K61" s="89" t="s">
        <v>9</v>
      </c>
      <c r="L61" s="91" t="str">
        <f>IF(OR(COUNTIF(B61:D62, "-")+COUNTBLANK(B61:D62)=6), "Pass", IF(H61 &gt; I61, "Fail", IF(J61 &lt; 3, "Margin 부족", "Pass")))</f>
        <v>Pass</v>
      </c>
      <c r="M61" s="93" t="s">
        <v>12</v>
      </c>
    </row>
    <row r="62" spans="1:16" ht="21.95" customHeight="1" thickBot="1" x14ac:dyDescent="0.35">
      <c r="A62" s="111"/>
      <c r="B62" s="7"/>
      <c r="C62" s="7"/>
      <c r="D62" s="7"/>
      <c r="E62" s="12" t="s">
        <v>28</v>
      </c>
      <c r="F62" s="113"/>
      <c r="G62" s="114"/>
      <c r="H62" s="115"/>
      <c r="I62" s="116"/>
      <c r="J62" s="106"/>
      <c r="K62" s="117"/>
      <c r="L62" s="118"/>
      <c r="M62" s="119"/>
    </row>
    <row r="63" spans="1:16" ht="21.95" customHeight="1" thickBot="1" x14ac:dyDescent="0.35">
      <c r="A63" s="120" t="s">
        <v>31</v>
      </c>
      <c r="B63" s="121"/>
      <c r="C63" s="121"/>
      <c r="D63" s="121"/>
      <c r="E63" s="121"/>
      <c r="F63" s="122" t="s">
        <v>31</v>
      </c>
      <c r="G63" s="123"/>
      <c r="H63" s="123"/>
      <c r="I63" s="123"/>
      <c r="J63" s="70"/>
      <c r="K63" s="123"/>
      <c r="L63" s="124"/>
      <c r="M63" s="125"/>
      <c r="N63" s="8" t="s">
        <v>8</v>
      </c>
    </row>
    <row r="64" spans="1:16" ht="21.95" customHeight="1" thickTop="1" x14ac:dyDescent="0.3">
      <c r="A64" s="71" t="s">
        <v>43</v>
      </c>
      <c r="B64" s="73" t="s">
        <v>14</v>
      </c>
      <c r="C64" s="73" t="s">
        <v>15</v>
      </c>
      <c r="D64" s="73" t="s">
        <v>16</v>
      </c>
      <c r="E64" s="75" t="s">
        <v>17</v>
      </c>
      <c r="F64" s="202" t="s">
        <v>43</v>
      </c>
      <c r="G64" s="132" t="s">
        <v>17</v>
      </c>
      <c r="H64" s="132" t="s">
        <v>29</v>
      </c>
      <c r="I64" s="133" t="s">
        <v>41</v>
      </c>
      <c r="J64" s="81" t="s">
        <v>42</v>
      </c>
      <c r="K64" s="134" t="s">
        <v>10</v>
      </c>
      <c r="L64" s="136" t="s">
        <v>18</v>
      </c>
      <c r="M64" s="138" t="s">
        <v>8</v>
      </c>
      <c r="N64" s="163" t="str">
        <f>"1. Sub6 NR Band : " &amp; VALUE(RIGHT(A7, LEN(A7)-1))</f>
        <v>1. Sub6 NR Band : 41</v>
      </c>
      <c r="O64" s="164"/>
      <c r="P64" s="164"/>
    </row>
    <row r="65" spans="1:16" ht="21.95" customHeight="1" x14ac:dyDescent="0.3">
      <c r="A65" s="72"/>
      <c r="B65" s="129"/>
      <c r="C65" s="129"/>
      <c r="D65" s="129"/>
      <c r="E65" s="76"/>
      <c r="F65" s="84"/>
      <c r="G65" s="78"/>
      <c r="H65" s="78"/>
      <c r="I65" s="80"/>
      <c r="J65" s="82"/>
      <c r="K65" s="135"/>
      <c r="L65" s="137"/>
      <c r="M65" s="139"/>
      <c r="N65" s="152" t="str">
        <f>"2. SCS : " &amp; H7 &amp; " kHz"</f>
        <v>2. SCS : 30 kHz</v>
      </c>
      <c r="O65" s="153"/>
      <c r="P65" s="153"/>
    </row>
    <row r="66" spans="1:16" ht="21.95" customHeight="1" x14ac:dyDescent="0.3">
      <c r="A66" s="199">
        <f>J7*2</f>
        <v>0</v>
      </c>
      <c r="B66" s="4"/>
      <c r="C66" s="4"/>
      <c r="D66" s="4"/>
      <c r="E66" s="16" t="s">
        <v>1</v>
      </c>
      <c r="F66" s="201">
        <f>$A$24</f>
        <v>0</v>
      </c>
      <c r="G66" s="99" t="str">
        <f>IF(COUNT(B66:D66)=0, "H", IF(COUNT(B67:D67)=0, "V", IF(MAX(B66:D66) &gt;= MAX(B67:D67), "V", "H")))</f>
        <v>H</v>
      </c>
      <c r="H66" s="101">
        <f>MAX(B66:D67)</f>
        <v>0</v>
      </c>
      <c r="I66" s="103">
        <v>-30</v>
      </c>
      <c r="J66" s="143" t="str">
        <f>IF(OR(I66-H66&gt;10,I66-H66=-30),"No Peak Found",I66-H66)</f>
        <v>No Peak Found</v>
      </c>
      <c r="K66" s="144" t="s">
        <v>9</v>
      </c>
      <c r="L66" s="117" t="str">
        <f>IF(OR(COUNTIF(B66:D67, "-")+COUNTBLANK(B66:D67)=6), "Pass", IF(H66 &gt; I66, "Fail", IF(J66 &lt; 3, "Margin 부족", "Pass")))</f>
        <v>Pass</v>
      </c>
      <c r="M66" s="146" t="s">
        <v>11</v>
      </c>
      <c r="N66" s="152" t="str">
        <f>"3. The test was performed the " &amp; I7 &amp; " antenna."</f>
        <v>3. The test was performed the  antenna.</v>
      </c>
      <c r="O66" s="153"/>
      <c r="P66" s="153"/>
    </row>
    <row r="67" spans="1:16" ht="21.95" customHeight="1" x14ac:dyDescent="0.3">
      <c r="A67" s="200"/>
      <c r="B67" s="4"/>
      <c r="C67" s="4"/>
      <c r="D67" s="4"/>
      <c r="E67" s="16" t="s">
        <v>0</v>
      </c>
      <c r="F67" s="201"/>
      <c r="G67" s="99"/>
      <c r="H67" s="101"/>
      <c r="I67" s="103"/>
      <c r="J67" s="143"/>
      <c r="K67" s="144"/>
      <c r="L67" s="145"/>
      <c r="M67" s="147"/>
      <c r="N67" s="152" t="str">
        <f>"4. " &amp; LEFT(A51, FIND(" ", A51 &amp; " ") - 1) &amp; " Mode Test."</f>
        <v>4. SA Mode Test.</v>
      </c>
      <c r="O67" s="154"/>
      <c r="P67" s="154"/>
    </row>
    <row r="68" spans="1:16" ht="21.95" customHeight="1" x14ac:dyDescent="0.3">
      <c r="A68" s="199">
        <f>J7*3</f>
        <v>0</v>
      </c>
      <c r="B68" s="4"/>
      <c r="C68" s="4"/>
      <c r="D68" s="4"/>
      <c r="E68" s="16" t="s">
        <v>1</v>
      </c>
      <c r="F68" s="203">
        <f>$A$26</f>
        <v>0</v>
      </c>
      <c r="G68" s="99" t="str">
        <f>IF(COUNT(B68:D68)=0, "H", IF(COUNT(B69:D69)=0, "V", IF(MAX(B68:D68) &gt;= MAX(B69:D69), "V", "H")))</f>
        <v>H</v>
      </c>
      <c r="H68" s="101">
        <f>MAX(B68:D69)</f>
        <v>0</v>
      </c>
      <c r="I68" s="149">
        <v>-30</v>
      </c>
      <c r="J68" s="143" t="str">
        <f t="shared" ref="J68" si="3">IF(OR(I68-H68&gt;10,I68-H68=-30),"No Peak Found",I68-H68)</f>
        <v>No Peak Found</v>
      </c>
      <c r="K68" s="150" t="s">
        <v>9</v>
      </c>
      <c r="L68" s="117" t="str">
        <f>IF(OR(COUNTIF(B68:D69, "-")+COUNTBLANK(B68:D69)=6), "Pass", IF(H68 &gt; I68, "Fail", IF(J68 &lt; 3, "Margin 부족", "Pass")))</f>
        <v>Pass</v>
      </c>
      <c r="M68" s="146" t="s">
        <v>11</v>
      </c>
    </row>
    <row r="69" spans="1:16" ht="21.95" customHeight="1" x14ac:dyDescent="0.3">
      <c r="A69" s="200"/>
      <c r="B69" s="4"/>
      <c r="C69" s="4"/>
      <c r="D69" s="4"/>
      <c r="E69" s="16" t="s">
        <v>0</v>
      </c>
      <c r="F69" s="203"/>
      <c r="G69" s="99"/>
      <c r="H69" s="101"/>
      <c r="I69" s="149"/>
      <c r="J69" s="143"/>
      <c r="K69" s="150"/>
      <c r="L69" s="145"/>
      <c r="M69" s="147"/>
    </row>
    <row r="70" spans="1:16" ht="21.95" customHeight="1" x14ac:dyDescent="0.3">
      <c r="A70" s="199">
        <f>J7*4</f>
        <v>0</v>
      </c>
      <c r="B70" s="4"/>
      <c r="C70" s="4"/>
      <c r="D70" s="4"/>
      <c r="E70" s="16" t="s">
        <v>1</v>
      </c>
      <c r="F70" s="201">
        <f>$A$28</f>
        <v>0</v>
      </c>
      <c r="G70" s="99" t="str">
        <f>IF(COUNT(B70:D70)=0, "H", IF(COUNT(B71:D71)=0, "V", IF(MAX(B70:D70) &gt;= MAX(B71:D71), "V", "H")))</f>
        <v>H</v>
      </c>
      <c r="H70" s="101">
        <f>MAX(B70:D71)</f>
        <v>0</v>
      </c>
      <c r="I70" s="149">
        <v>-30</v>
      </c>
      <c r="J70" s="143" t="str">
        <f t="shared" ref="J70" si="4">IF(OR(I70-H70&gt;10,I70-H70=-30),"No Peak Found",I70-H70)</f>
        <v>No Peak Found</v>
      </c>
      <c r="K70" s="171" t="s">
        <v>9</v>
      </c>
      <c r="L70" s="117" t="str">
        <f>IF(OR(COUNTIF(B70:D71, "-")+COUNTBLANK(B70:D71)=6), "Pass", IF(H70 &gt; I70, "Fail", IF(J70 &lt; 3, "Margin 부족", "Pass")))</f>
        <v>Pass</v>
      </c>
      <c r="M70" s="146" t="s">
        <v>11</v>
      </c>
    </row>
    <row r="71" spans="1:16" ht="21.95" customHeight="1" x14ac:dyDescent="0.3">
      <c r="A71" s="200"/>
      <c r="B71" s="4"/>
      <c r="C71" s="4"/>
      <c r="D71" s="4"/>
      <c r="E71" s="16" t="s">
        <v>0</v>
      </c>
      <c r="F71" s="201"/>
      <c r="G71" s="99"/>
      <c r="H71" s="101"/>
      <c r="I71" s="149"/>
      <c r="J71" s="143"/>
      <c r="K71" s="171"/>
      <c r="L71" s="145"/>
      <c r="M71" s="147"/>
    </row>
    <row r="72" spans="1:16" ht="21.95" customHeight="1" x14ac:dyDescent="0.3">
      <c r="A72" s="199">
        <f>J7*5</f>
        <v>0</v>
      </c>
      <c r="B72" s="4"/>
      <c r="C72" s="4"/>
      <c r="D72" s="4"/>
      <c r="E72" s="16" t="s">
        <v>1</v>
      </c>
      <c r="F72" s="203">
        <f>$A$30</f>
        <v>0</v>
      </c>
      <c r="G72" s="99" t="str">
        <f>IF(COUNT(B72:D72)=0, "H", IF(COUNT(B73:D73)=0, "V", IF(MAX(B72:D72) &gt;= MAX(B73:D73), "V", "H")))</f>
        <v>H</v>
      </c>
      <c r="H72" s="101">
        <f>MAX(B72:D73)</f>
        <v>0</v>
      </c>
      <c r="I72" s="149">
        <v>-30</v>
      </c>
      <c r="J72" s="143" t="str">
        <f t="shared" ref="J72" si="5">IF(OR(I72-H72&gt;10,I72-H72=-30),"No Peak Found",I72-H72)</f>
        <v>No Peak Found</v>
      </c>
      <c r="K72" s="171" t="s">
        <v>9</v>
      </c>
      <c r="L72" s="117" t="str">
        <f>IF(OR(COUNTIF(B72:D73, "-")+COUNTBLANK(B72:D73)=6), "Pass", IF(H72 &gt; I72, "Fail", IF(J72 &lt; 3, "Margin 부족", "Pass")))</f>
        <v>Pass</v>
      </c>
      <c r="M72" s="146" t="s">
        <v>11</v>
      </c>
    </row>
    <row r="73" spans="1:16" ht="21.95" customHeight="1" thickBot="1" x14ac:dyDescent="0.35">
      <c r="A73" s="204"/>
      <c r="B73" s="17"/>
      <c r="C73" s="17"/>
      <c r="D73" s="17"/>
      <c r="E73" s="18" t="s">
        <v>28</v>
      </c>
      <c r="F73" s="205"/>
      <c r="G73" s="167"/>
      <c r="H73" s="168"/>
      <c r="I73" s="169"/>
      <c r="J73" s="170"/>
      <c r="K73" s="172"/>
      <c r="L73" s="173"/>
      <c r="M73" s="151"/>
    </row>
    <row r="74" spans="1:16" ht="21.95" customHeight="1" x14ac:dyDescent="0.3">
      <c r="A74" s="155" t="s">
        <v>45</v>
      </c>
      <c r="B74" s="156"/>
      <c r="C74" s="156"/>
      <c r="D74" s="156"/>
      <c r="E74" s="157"/>
      <c r="F74" s="159" t="s">
        <v>51</v>
      </c>
      <c r="G74" s="159"/>
      <c r="H74" s="159"/>
      <c r="I74" s="159"/>
      <c r="J74" s="159"/>
      <c r="K74" s="159"/>
      <c r="L74" s="159"/>
      <c r="M74" s="160"/>
    </row>
    <row r="75" spans="1:16" ht="21.95" customHeight="1" x14ac:dyDescent="0.3">
      <c r="A75" s="158"/>
      <c r="B75" s="156"/>
      <c r="C75" s="156"/>
      <c r="D75" s="156"/>
      <c r="E75" s="157"/>
      <c r="F75" s="161"/>
      <c r="G75" s="161"/>
      <c r="H75" s="161"/>
      <c r="I75" s="161"/>
      <c r="J75" s="161"/>
      <c r="K75" s="161"/>
      <c r="L75" s="161"/>
      <c r="M75" s="162"/>
    </row>
    <row r="76" spans="1:16" ht="21.95" customHeight="1" thickBot="1" x14ac:dyDescent="0.35">
      <c r="A76" s="174" t="s">
        <v>6</v>
      </c>
      <c r="B76" s="175"/>
      <c r="C76" s="175"/>
      <c r="D76" s="175"/>
      <c r="E76" s="176"/>
      <c r="F76" s="177" t="s">
        <v>6</v>
      </c>
      <c r="G76" s="177"/>
      <c r="H76" s="177"/>
      <c r="I76" s="177"/>
      <c r="J76" s="177"/>
      <c r="K76" s="177"/>
      <c r="L76" s="177"/>
      <c r="M76" s="177"/>
    </row>
    <row r="77" spans="1:16" ht="21.95" customHeight="1" thickTop="1" x14ac:dyDescent="0.3">
      <c r="A77" s="71" t="s">
        <v>43</v>
      </c>
      <c r="B77" s="73" t="s">
        <v>14</v>
      </c>
      <c r="C77" s="73" t="s">
        <v>15</v>
      </c>
      <c r="D77" s="73" t="s">
        <v>16</v>
      </c>
      <c r="E77" s="75" t="s">
        <v>17</v>
      </c>
      <c r="F77" s="71" t="s">
        <v>43</v>
      </c>
      <c r="G77" s="77" t="s">
        <v>17</v>
      </c>
      <c r="H77" s="77" t="s">
        <v>29</v>
      </c>
      <c r="I77" s="79" t="s">
        <v>41</v>
      </c>
      <c r="J77" s="81" t="s">
        <v>42</v>
      </c>
      <c r="K77" s="187" t="s">
        <v>10</v>
      </c>
      <c r="L77" s="85" t="s">
        <v>18</v>
      </c>
      <c r="M77" s="87" t="s">
        <v>8</v>
      </c>
    </row>
    <row r="78" spans="1:16" ht="21.95" customHeight="1" x14ac:dyDescent="0.3">
      <c r="A78" s="72"/>
      <c r="B78" s="74"/>
      <c r="C78" s="74"/>
      <c r="D78" s="74"/>
      <c r="E78" s="76"/>
      <c r="F78" s="72"/>
      <c r="G78" s="78"/>
      <c r="H78" s="78"/>
      <c r="I78" s="80"/>
      <c r="J78" s="82"/>
      <c r="K78" s="188"/>
      <c r="L78" s="86"/>
      <c r="M78" s="88"/>
    </row>
    <row r="79" spans="1:16" ht="21.95" customHeight="1" x14ac:dyDescent="0.3">
      <c r="A79" s="189" t="s">
        <v>26</v>
      </c>
      <c r="B79" s="10"/>
      <c r="C79" s="1"/>
      <c r="D79" s="1"/>
      <c r="E79" s="11" t="s">
        <v>27</v>
      </c>
      <c r="F79" s="191" t="str">
        <f>A79</f>
        <v>Spurious</v>
      </c>
      <c r="G79" s="193" t="str">
        <f>IF(COUNT(B79:D79)=0, "H", IF(COUNT(B80:D80)=0, "V", IF(MAX(B79:D79) &gt;= MAX(B80:D80), "V", "H")))</f>
        <v>H</v>
      </c>
      <c r="H79" s="195">
        <f>MAX(B79:D80)</f>
        <v>0</v>
      </c>
      <c r="I79" s="197">
        <v>-57</v>
      </c>
      <c r="J79" s="178" t="str">
        <f>IF(OR(I79-H79&gt;10,I79-H79=-57),"No Peak Found",I79-H79)</f>
        <v>No Peak Found</v>
      </c>
      <c r="K79" s="180" t="s">
        <v>9</v>
      </c>
      <c r="L79" s="91" t="str">
        <f>IF(OR(COUNTIF(B79:D80, "-")+COUNTBLANK(B79:D80)=6), "Pass", IF(H79 &gt; I79, "Fail", IF(J79 &lt; 3, "Margin 부족", "Pass")))</f>
        <v>Pass</v>
      </c>
      <c r="M79" s="182" t="s">
        <v>12</v>
      </c>
    </row>
    <row r="80" spans="1:16" ht="21.95" customHeight="1" thickBot="1" x14ac:dyDescent="0.35">
      <c r="A80" s="190"/>
      <c r="B80" s="2"/>
      <c r="C80" s="2"/>
      <c r="D80" s="2"/>
      <c r="E80" s="12" t="s">
        <v>28</v>
      </c>
      <c r="F80" s="192"/>
      <c r="G80" s="194"/>
      <c r="H80" s="196"/>
      <c r="I80" s="198"/>
      <c r="J80" s="179"/>
      <c r="K80" s="181"/>
      <c r="L80" s="92"/>
      <c r="M80" s="183"/>
    </row>
    <row r="81" spans="1:13" ht="21.95" customHeight="1" thickBot="1" x14ac:dyDescent="0.35">
      <c r="A81" s="184" t="s">
        <v>33</v>
      </c>
      <c r="B81" s="185"/>
      <c r="C81" s="185"/>
      <c r="D81" s="185"/>
      <c r="E81" s="186"/>
      <c r="F81" s="70" t="s">
        <v>33</v>
      </c>
      <c r="G81" s="70"/>
      <c r="H81" s="70"/>
      <c r="I81" s="70"/>
      <c r="J81" s="70"/>
      <c r="K81" s="70"/>
      <c r="L81" s="70"/>
      <c r="M81" s="70"/>
    </row>
    <row r="82" spans="1:13" ht="21.95" customHeight="1" thickTop="1" x14ac:dyDescent="0.3">
      <c r="A82" s="71" t="s">
        <v>43</v>
      </c>
      <c r="B82" s="73" t="s">
        <v>14</v>
      </c>
      <c r="C82" s="73" t="s">
        <v>15</v>
      </c>
      <c r="D82" s="73" t="s">
        <v>16</v>
      </c>
      <c r="E82" s="75" t="s">
        <v>17</v>
      </c>
      <c r="F82" s="71" t="s">
        <v>43</v>
      </c>
      <c r="G82" s="77" t="s">
        <v>17</v>
      </c>
      <c r="H82" s="77" t="s">
        <v>29</v>
      </c>
      <c r="I82" s="79" t="s">
        <v>41</v>
      </c>
      <c r="J82" s="81" t="s">
        <v>42</v>
      </c>
      <c r="K82" s="187" t="s">
        <v>10</v>
      </c>
      <c r="L82" s="85" t="s">
        <v>18</v>
      </c>
      <c r="M82" s="87" t="s">
        <v>8</v>
      </c>
    </row>
    <row r="83" spans="1:13" ht="21.95" customHeight="1" x14ac:dyDescent="0.3">
      <c r="A83" s="72"/>
      <c r="B83" s="74"/>
      <c r="C83" s="74"/>
      <c r="D83" s="74"/>
      <c r="E83" s="76"/>
      <c r="F83" s="72"/>
      <c r="G83" s="78"/>
      <c r="H83" s="78"/>
      <c r="I83" s="80"/>
      <c r="J83" s="82"/>
      <c r="K83" s="188"/>
      <c r="L83" s="86"/>
      <c r="M83" s="88"/>
    </row>
    <row r="84" spans="1:13" ht="21.95" customHeight="1" x14ac:dyDescent="0.3">
      <c r="A84" s="189" t="s">
        <v>26</v>
      </c>
      <c r="B84" s="10"/>
      <c r="C84" s="1"/>
      <c r="D84" s="1"/>
      <c r="E84" s="11" t="s">
        <v>27</v>
      </c>
      <c r="F84" s="191" t="str">
        <f>A84</f>
        <v>Spurious</v>
      </c>
      <c r="G84" s="193" t="str">
        <f>IF(COUNT(B84:D84)=0, "H", IF(COUNT(B85:D85)=0, "V", IF(MAX(B84:D84) &gt;= MAX(B85:D85), "V", "H")))</f>
        <v>H</v>
      </c>
      <c r="H84" s="195">
        <f>MAX(B84:D85)</f>
        <v>0</v>
      </c>
      <c r="I84" s="197">
        <v>-47</v>
      </c>
      <c r="J84" s="178" t="str">
        <f>IF(OR(I84-H84&gt;10,I84-H84=-47),"No Peak Found",I84-H84)</f>
        <v>No Peak Found</v>
      </c>
      <c r="K84" s="180" t="s">
        <v>9</v>
      </c>
      <c r="L84" s="91" t="str">
        <f>IF(OR(COUNTIF(B84:D85, "-")+COUNTBLANK(B84:D85)=6), "Pass", IF(H84 &gt; I84, "Fail", IF(J84 &lt; 3, "Margin 부족", "Pass")))</f>
        <v>Pass</v>
      </c>
      <c r="M84" s="182" t="s">
        <v>12</v>
      </c>
    </row>
    <row r="85" spans="1:13" ht="21.95" customHeight="1" thickBot="1" x14ac:dyDescent="0.35">
      <c r="A85" s="190"/>
      <c r="B85" s="2"/>
      <c r="C85" s="2"/>
      <c r="D85" s="2"/>
      <c r="E85" s="12" t="s">
        <v>28</v>
      </c>
      <c r="F85" s="192"/>
      <c r="G85" s="194"/>
      <c r="H85" s="196"/>
      <c r="I85" s="198"/>
      <c r="J85" s="179"/>
      <c r="K85" s="181"/>
      <c r="L85" s="92"/>
      <c r="M85" s="183"/>
    </row>
  </sheetData>
  <mergeCells count="357">
    <mergeCell ref="J84:J85"/>
    <mergeCell ref="K84:K85"/>
    <mergeCell ref="L84:L85"/>
    <mergeCell ref="M84:M85"/>
    <mergeCell ref="I82:I83"/>
    <mergeCell ref="J82:J83"/>
    <mergeCell ref="K82:K83"/>
    <mergeCell ref="L82:L83"/>
    <mergeCell ref="M82:M83"/>
    <mergeCell ref="A84:A85"/>
    <mergeCell ref="F84:F85"/>
    <mergeCell ref="G84:G85"/>
    <mergeCell ref="H84:H85"/>
    <mergeCell ref="I84:I85"/>
    <mergeCell ref="A81:E81"/>
    <mergeCell ref="F81:M81"/>
    <mergeCell ref="A82:A83"/>
    <mergeCell ref="B82:B83"/>
    <mergeCell ref="C82:C83"/>
    <mergeCell ref="D82:D83"/>
    <mergeCell ref="E82:E83"/>
    <mergeCell ref="F82:F83"/>
    <mergeCell ref="G82:G83"/>
    <mergeCell ref="H82:H83"/>
    <mergeCell ref="M77:M78"/>
    <mergeCell ref="A79:A80"/>
    <mergeCell ref="F79:F80"/>
    <mergeCell ref="G79:G80"/>
    <mergeCell ref="H79:H80"/>
    <mergeCell ref="I79:I80"/>
    <mergeCell ref="J79:J80"/>
    <mergeCell ref="K79:K80"/>
    <mergeCell ref="L79:L80"/>
    <mergeCell ref="M79:M80"/>
    <mergeCell ref="G77:G78"/>
    <mergeCell ref="H77:H78"/>
    <mergeCell ref="I77:I78"/>
    <mergeCell ref="J77:J78"/>
    <mergeCell ref="K77:K78"/>
    <mergeCell ref="L77:L78"/>
    <mergeCell ref="A77:A78"/>
    <mergeCell ref="B77:B78"/>
    <mergeCell ref="C77:C78"/>
    <mergeCell ref="D77:D78"/>
    <mergeCell ref="E77:E78"/>
    <mergeCell ref="F77:F78"/>
    <mergeCell ref="L72:L73"/>
    <mergeCell ref="M72:M73"/>
    <mergeCell ref="A74:E75"/>
    <mergeCell ref="F74:M75"/>
    <mergeCell ref="A76:E76"/>
    <mergeCell ref="F76:M76"/>
    <mergeCell ref="K70:K71"/>
    <mergeCell ref="L70:L71"/>
    <mergeCell ref="M70:M71"/>
    <mergeCell ref="A72:A73"/>
    <mergeCell ref="F72:F73"/>
    <mergeCell ref="G72:G73"/>
    <mergeCell ref="H72:H73"/>
    <mergeCell ref="I72:I73"/>
    <mergeCell ref="J72:J73"/>
    <mergeCell ref="K72:K73"/>
    <mergeCell ref="J68:J69"/>
    <mergeCell ref="K68:K69"/>
    <mergeCell ref="L68:L69"/>
    <mergeCell ref="M68:M69"/>
    <mergeCell ref="A70:A71"/>
    <mergeCell ref="F70:F71"/>
    <mergeCell ref="G70:G71"/>
    <mergeCell ref="H70:H71"/>
    <mergeCell ref="I70:I71"/>
    <mergeCell ref="J70:J71"/>
    <mergeCell ref="K66:K67"/>
    <mergeCell ref="L66:L67"/>
    <mergeCell ref="M66:M67"/>
    <mergeCell ref="N66:P66"/>
    <mergeCell ref="N67:P67"/>
    <mergeCell ref="A68:A69"/>
    <mergeCell ref="F68:F69"/>
    <mergeCell ref="G68:G69"/>
    <mergeCell ref="H68:H69"/>
    <mergeCell ref="I68:I69"/>
    <mergeCell ref="L64:L65"/>
    <mergeCell ref="M64:M65"/>
    <mergeCell ref="N64:P64"/>
    <mergeCell ref="N65:P65"/>
    <mergeCell ref="A66:A67"/>
    <mergeCell ref="F66:F67"/>
    <mergeCell ref="G66:G67"/>
    <mergeCell ref="H66:H67"/>
    <mergeCell ref="I66:I67"/>
    <mergeCell ref="J66:J67"/>
    <mergeCell ref="F64:F65"/>
    <mergeCell ref="G64:G65"/>
    <mergeCell ref="H64:H65"/>
    <mergeCell ref="I64:I65"/>
    <mergeCell ref="J64:J65"/>
    <mergeCell ref="K64:K65"/>
    <mergeCell ref="K61:K62"/>
    <mergeCell ref="L61:L62"/>
    <mergeCell ref="M61:M62"/>
    <mergeCell ref="A63:E63"/>
    <mergeCell ref="F63:M63"/>
    <mergeCell ref="A64:A65"/>
    <mergeCell ref="B64:B65"/>
    <mergeCell ref="C64:C65"/>
    <mergeCell ref="D64:D65"/>
    <mergeCell ref="E64:E65"/>
    <mergeCell ref="A61:A62"/>
    <mergeCell ref="F61:F62"/>
    <mergeCell ref="G61:G62"/>
    <mergeCell ref="H61:H62"/>
    <mergeCell ref="I61:I62"/>
    <mergeCell ref="J61:J62"/>
    <mergeCell ref="H59:H60"/>
    <mergeCell ref="I59:I60"/>
    <mergeCell ref="J59:J60"/>
    <mergeCell ref="K59:K60"/>
    <mergeCell ref="L59:L60"/>
    <mergeCell ref="M59:M60"/>
    <mergeCell ref="M56:M57"/>
    <mergeCell ref="A58:E58"/>
    <mergeCell ref="F58:M58"/>
    <mergeCell ref="A59:A60"/>
    <mergeCell ref="B59:B60"/>
    <mergeCell ref="C59:C60"/>
    <mergeCell ref="D59:D60"/>
    <mergeCell ref="E59:E60"/>
    <mergeCell ref="F59:F60"/>
    <mergeCell ref="G59:G60"/>
    <mergeCell ref="L54:L55"/>
    <mergeCell ref="M54:M55"/>
    <mergeCell ref="A56:A57"/>
    <mergeCell ref="F56:F57"/>
    <mergeCell ref="G56:G57"/>
    <mergeCell ref="H56:H57"/>
    <mergeCell ref="I56:I57"/>
    <mergeCell ref="J56:J57"/>
    <mergeCell ref="K56:K57"/>
    <mergeCell ref="L56:L57"/>
    <mergeCell ref="F54:F55"/>
    <mergeCell ref="G54:G55"/>
    <mergeCell ref="H54:H55"/>
    <mergeCell ref="I54:I55"/>
    <mergeCell ref="J54:J55"/>
    <mergeCell ref="K54:K55"/>
    <mergeCell ref="J49:M50"/>
    <mergeCell ref="A51:E52"/>
    <mergeCell ref="F51:M52"/>
    <mergeCell ref="A53:E53"/>
    <mergeCell ref="F53:M53"/>
    <mergeCell ref="A54:A55"/>
    <mergeCell ref="B54:B55"/>
    <mergeCell ref="C54:C55"/>
    <mergeCell ref="D54:D55"/>
    <mergeCell ref="E54:E55"/>
    <mergeCell ref="J47:M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45:M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M40:M41"/>
    <mergeCell ref="A42:A43"/>
    <mergeCell ref="F42:F43"/>
    <mergeCell ref="G42:G43"/>
    <mergeCell ref="H42:H43"/>
    <mergeCell ref="I42:I43"/>
    <mergeCell ref="J42:J43"/>
    <mergeCell ref="K42:K43"/>
    <mergeCell ref="L42:L43"/>
    <mergeCell ref="M42:M43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J37:J38"/>
    <mergeCell ref="K37:K38"/>
    <mergeCell ref="L37:L38"/>
    <mergeCell ref="M37:M38"/>
    <mergeCell ref="A39:E39"/>
    <mergeCell ref="F39:M39"/>
    <mergeCell ref="I35:I36"/>
    <mergeCell ref="J35:J36"/>
    <mergeCell ref="K35:K36"/>
    <mergeCell ref="L35:L36"/>
    <mergeCell ref="M35:M36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K30:K31"/>
    <mergeCell ref="L30:L31"/>
    <mergeCell ref="M30:M31"/>
    <mergeCell ref="N30:P30"/>
    <mergeCell ref="N31:P31"/>
    <mergeCell ref="A32:E33"/>
    <mergeCell ref="F32:M33"/>
    <mergeCell ref="L28:L29"/>
    <mergeCell ref="M28:M29"/>
    <mergeCell ref="N28:P28"/>
    <mergeCell ref="N29:P29"/>
    <mergeCell ref="A30:A31"/>
    <mergeCell ref="F30:F31"/>
    <mergeCell ref="G30:G31"/>
    <mergeCell ref="H30:H31"/>
    <mergeCell ref="I30:I31"/>
    <mergeCell ref="J30:J31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J24:J25"/>
    <mergeCell ref="K24:K25"/>
    <mergeCell ref="L24:L25"/>
    <mergeCell ref="M24:M25"/>
    <mergeCell ref="A26:A27"/>
    <mergeCell ref="F26:F27"/>
    <mergeCell ref="G26:G27"/>
    <mergeCell ref="H26:H27"/>
    <mergeCell ref="I26:I27"/>
    <mergeCell ref="J26:J27"/>
    <mergeCell ref="I22:I23"/>
    <mergeCell ref="J22:J23"/>
    <mergeCell ref="K22:K23"/>
    <mergeCell ref="L22:L23"/>
    <mergeCell ref="M22:M23"/>
    <mergeCell ref="A24:A25"/>
    <mergeCell ref="F24:F25"/>
    <mergeCell ref="G24:G25"/>
    <mergeCell ref="H24:H25"/>
    <mergeCell ref="I24:I25"/>
    <mergeCell ref="A21:E21"/>
    <mergeCell ref="F21:M21"/>
    <mergeCell ref="A22:A23"/>
    <mergeCell ref="B22:B23"/>
    <mergeCell ref="C22:C23"/>
    <mergeCell ref="D22:D23"/>
    <mergeCell ref="E22:E23"/>
    <mergeCell ref="F22:F23"/>
    <mergeCell ref="G22:G23"/>
    <mergeCell ref="H22:H23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</mergeCells>
  <phoneticPr fontId="1" type="noConversion"/>
  <conditionalFormatting sqref="J14 J19">
    <cfRule type="cellIs" dxfId="142" priority="45" operator="lessThan">
      <formula>10</formula>
    </cfRule>
  </conditionalFormatting>
  <conditionalFormatting sqref="J14">
    <cfRule type="cellIs" dxfId="141" priority="44" operator="equal">
      <formula>-36</formula>
    </cfRule>
  </conditionalFormatting>
  <conditionalFormatting sqref="L14 L19">
    <cfRule type="cellIs" dxfId="140" priority="43" operator="equal">
      <formula>"Fail"</formula>
    </cfRule>
  </conditionalFormatting>
  <conditionalFormatting sqref="J24">
    <cfRule type="cellIs" dxfId="139" priority="41" operator="equal">
      <formula>-30</formula>
    </cfRule>
    <cfRule type="cellIs" dxfId="138" priority="42" operator="lessThan">
      <formula>10</formula>
    </cfRule>
  </conditionalFormatting>
  <conditionalFormatting sqref="L24">
    <cfRule type="cellIs" dxfId="137" priority="40" operator="equal">
      <formula>"Fail"</formula>
    </cfRule>
  </conditionalFormatting>
  <conditionalFormatting sqref="L26">
    <cfRule type="cellIs" dxfId="136" priority="39" operator="equal">
      <formula>"Fail"</formula>
    </cfRule>
  </conditionalFormatting>
  <conditionalFormatting sqref="L28">
    <cfRule type="cellIs" dxfId="135" priority="38" operator="equal">
      <formula>"Fail"</formula>
    </cfRule>
  </conditionalFormatting>
  <conditionalFormatting sqref="L30">
    <cfRule type="cellIs" dxfId="134" priority="37" operator="equal">
      <formula>"Fail"</formula>
    </cfRule>
  </conditionalFormatting>
  <conditionalFormatting sqref="V33">
    <cfRule type="cellIs" dxfId="133" priority="36" operator="equal">
      <formula>"Fail"</formula>
    </cfRule>
  </conditionalFormatting>
  <conditionalFormatting sqref="L14:L15 L19:L20 L24:L31">
    <cfRule type="cellIs" dxfId="132" priority="35" operator="equal">
      <formula>"Pass"</formula>
    </cfRule>
  </conditionalFormatting>
  <conditionalFormatting sqref="L37">
    <cfRule type="cellIs" dxfId="131" priority="34" operator="equal">
      <formula>"Fail"</formula>
    </cfRule>
  </conditionalFormatting>
  <conditionalFormatting sqref="L37:L38">
    <cfRule type="cellIs" dxfId="130" priority="33" operator="equal">
      <formula>"Pass"</formula>
    </cfRule>
  </conditionalFormatting>
  <conditionalFormatting sqref="L42">
    <cfRule type="cellIs" dxfId="129" priority="32" operator="equal">
      <formula>"Fail"</formula>
    </cfRule>
  </conditionalFormatting>
  <conditionalFormatting sqref="L42:L43">
    <cfRule type="cellIs" dxfId="128" priority="31" operator="equal">
      <formula>"Pass"</formula>
    </cfRule>
  </conditionalFormatting>
  <conditionalFormatting sqref="B14:D15">
    <cfRule type="top10" dxfId="127" priority="30" rank="1"/>
  </conditionalFormatting>
  <conditionalFormatting sqref="B19:D20">
    <cfRule type="top10" dxfId="126" priority="29" rank="1"/>
  </conditionalFormatting>
  <conditionalFormatting sqref="B24:D25">
    <cfRule type="top10" dxfId="125" priority="28" rank="1"/>
  </conditionalFormatting>
  <conditionalFormatting sqref="B26:D27">
    <cfRule type="top10" dxfId="124" priority="27" rank="1"/>
  </conditionalFormatting>
  <conditionalFormatting sqref="B28:D29">
    <cfRule type="top10" dxfId="123" priority="26" rank="1"/>
  </conditionalFormatting>
  <conditionalFormatting sqref="B30:D31">
    <cfRule type="top10" dxfId="122" priority="25" rank="1"/>
  </conditionalFormatting>
  <conditionalFormatting sqref="J26 J28 J30">
    <cfRule type="cellIs" dxfId="121" priority="23" operator="equal">
      <formula>-30</formula>
    </cfRule>
    <cfRule type="cellIs" dxfId="120" priority="24" operator="lessThan">
      <formula>10</formula>
    </cfRule>
  </conditionalFormatting>
  <conditionalFormatting sqref="J56 J61">
    <cfRule type="cellIs" dxfId="119" priority="22" operator="lessThan">
      <formula>10</formula>
    </cfRule>
  </conditionalFormatting>
  <conditionalFormatting sqref="J56">
    <cfRule type="cellIs" dxfId="118" priority="21" operator="equal">
      <formula>-36</formula>
    </cfRule>
  </conditionalFormatting>
  <conditionalFormatting sqref="L56 L61">
    <cfRule type="cellIs" dxfId="117" priority="20" operator="equal">
      <formula>"Fail"</formula>
    </cfRule>
  </conditionalFormatting>
  <conditionalFormatting sqref="J66">
    <cfRule type="cellIs" dxfId="116" priority="18" operator="equal">
      <formula>-30</formula>
    </cfRule>
    <cfRule type="cellIs" dxfId="115" priority="19" operator="lessThan">
      <formula>10</formula>
    </cfRule>
  </conditionalFormatting>
  <conditionalFormatting sqref="L66">
    <cfRule type="cellIs" dxfId="114" priority="17" operator="equal">
      <formula>"Fail"</formula>
    </cfRule>
  </conditionalFormatting>
  <conditionalFormatting sqref="L68">
    <cfRule type="cellIs" dxfId="113" priority="16" operator="equal">
      <formula>"Fail"</formula>
    </cfRule>
  </conditionalFormatting>
  <conditionalFormatting sqref="L70">
    <cfRule type="cellIs" dxfId="112" priority="15" operator="equal">
      <formula>"Fail"</formula>
    </cfRule>
  </conditionalFormatting>
  <conditionalFormatting sqref="L72">
    <cfRule type="cellIs" dxfId="111" priority="14" operator="equal">
      <formula>"Fail"</formula>
    </cfRule>
  </conditionalFormatting>
  <conditionalFormatting sqref="L56:L57 L61:L62 L66:L73">
    <cfRule type="cellIs" dxfId="110" priority="13" operator="equal">
      <formula>"Pass"</formula>
    </cfRule>
  </conditionalFormatting>
  <conditionalFormatting sqref="L79">
    <cfRule type="cellIs" dxfId="109" priority="12" operator="equal">
      <formula>"Fail"</formula>
    </cfRule>
  </conditionalFormatting>
  <conditionalFormatting sqref="L79:L80">
    <cfRule type="cellIs" dxfId="108" priority="11" operator="equal">
      <formula>"Pass"</formula>
    </cfRule>
  </conditionalFormatting>
  <conditionalFormatting sqref="L84">
    <cfRule type="cellIs" dxfId="107" priority="10" operator="equal">
      <formula>"Fail"</formula>
    </cfRule>
  </conditionalFormatting>
  <conditionalFormatting sqref="L84:L85">
    <cfRule type="cellIs" dxfId="106" priority="9" operator="equal">
      <formula>"Pass"</formula>
    </cfRule>
  </conditionalFormatting>
  <conditionalFormatting sqref="B56:D57">
    <cfRule type="top10" dxfId="105" priority="8" rank="1"/>
  </conditionalFormatting>
  <conditionalFormatting sqref="B61:D62">
    <cfRule type="top10" dxfId="104" priority="7" rank="1"/>
  </conditionalFormatting>
  <conditionalFormatting sqref="B66:D73">
    <cfRule type="top10" dxfId="103" priority="6" rank="1"/>
  </conditionalFormatting>
  <conditionalFormatting sqref="B68:D69">
    <cfRule type="top10" dxfId="102" priority="5" rank="1"/>
  </conditionalFormatting>
  <conditionalFormatting sqref="B70:D71">
    <cfRule type="top10" dxfId="101" priority="4" rank="1"/>
  </conditionalFormatting>
  <conditionalFormatting sqref="B72:D73">
    <cfRule type="top10" dxfId="100" priority="3" rank="1"/>
  </conditionalFormatting>
  <conditionalFormatting sqref="J68 J70 J72">
    <cfRule type="cellIs" dxfId="99" priority="1" operator="equal">
      <formula>-30</formula>
    </cfRule>
    <cfRule type="cellIs" dxfId="98" priority="2" operator="lessThan">
      <formula>10</formula>
    </cfRule>
  </conditionalFormatting>
  <dataValidations count="1">
    <dataValidation type="list" allowBlank="1" showInputMessage="1" showErrorMessage="1" sqref="M14 M19 M30 M24 M26 M28 M37:M38 M56 M61 M72 M66 M68 M70 M84:M85 M79:M80 M42:M43" xr:uid="{9223D101-6001-4B00-9BAC-079FA7E7078F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84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5139-2492-4406-8324-867577624B81}">
  <dimension ref="A1:P75"/>
  <sheetViews>
    <sheetView view="pageBreakPreview" zoomScale="85" zoomScaleNormal="100" zoomScaleSheetLayoutView="85" workbookViewId="0">
      <selection activeCell="F46" sqref="F46:M47"/>
    </sheetView>
  </sheetViews>
  <sheetFormatPr defaultRowHeight="16.5" outlineLevelCol="1" x14ac:dyDescent="0.3"/>
  <cols>
    <col min="1" max="11" width="12.625" style="6" customWidth="1"/>
    <col min="12" max="13" width="12.625" hidden="1" customWidth="1" outlineLevel="1"/>
    <col min="14" max="14" width="12.625" customWidth="1" collapsed="1"/>
    <col min="15" max="22" width="12.625" customWidth="1"/>
  </cols>
  <sheetData>
    <row r="1" spans="1:13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3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46</v>
      </c>
      <c r="H2" s="28"/>
      <c r="I2" s="28"/>
      <c r="J2" s="28"/>
      <c r="K2" s="28"/>
      <c r="L2" s="28"/>
      <c r="M2" s="29"/>
    </row>
    <row r="3" spans="1:13" ht="24.95" customHeight="1" x14ac:dyDescent="0.3">
      <c r="A3" s="30" t="s">
        <v>66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3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3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3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3" ht="20.100000000000001" customHeight="1" x14ac:dyDescent="0.3">
      <c r="A7" s="62" t="s">
        <v>64</v>
      </c>
      <c r="B7" s="36"/>
      <c r="C7" s="36"/>
      <c r="D7" s="36"/>
      <c r="E7" s="36"/>
      <c r="F7" s="36"/>
      <c r="G7" s="36"/>
      <c r="H7" s="37">
        <v>15</v>
      </c>
      <c r="I7" s="37"/>
      <c r="J7" s="39"/>
      <c r="K7" s="40"/>
      <c r="L7" s="40"/>
      <c r="M7" s="41"/>
    </row>
    <row r="8" spans="1:13" ht="20.100000000000001" customHeight="1" thickBot="1" x14ac:dyDescent="0.35">
      <c r="A8" s="63"/>
      <c r="B8" s="37"/>
      <c r="C8" s="37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3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3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</row>
    <row r="11" spans="1:13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3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212" t="s">
        <v>18</v>
      </c>
      <c r="M12" s="206" t="s">
        <v>8</v>
      </c>
    </row>
    <row r="13" spans="1:13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213"/>
      <c r="M13" s="207"/>
    </row>
    <row r="14" spans="1:13" ht="21.95" customHeight="1" x14ac:dyDescent="0.3">
      <c r="A14" s="95" t="s">
        <v>26</v>
      </c>
      <c r="B14" s="3"/>
      <c r="C14" s="3"/>
      <c r="D14" s="3"/>
      <c r="E14" s="11" t="s">
        <v>27</v>
      </c>
      <c r="F14" s="226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208" t="str">
        <f>IF(OR(COUNTIF(B14:D15, "-")+COUNTBLANK(B14:D15)=6), "Pass", IF(H14 &gt; I14, "Fail", IF(J14 &lt; 3, "Margin 부족", "Pass")))</f>
        <v>Pass</v>
      </c>
      <c r="M14" s="224" t="s">
        <v>12</v>
      </c>
    </row>
    <row r="15" spans="1:13" ht="21.95" customHeight="1" thickBot="1" x14ac:dyDescent="0.35">
      <c r="A15" s="96"/>
      <c r="B15" s="7"/>
      <c r="C15" s="7"/>
      <c r="D15" s="7"/>
      <c r="E15" s="12" t="s">
        <v>28</v>
      </c>
      <c r="F15" s="227"/>
      <c r="G15" s="100"/>
      <c r="H15" s="102"/>
      <c r="I15" s="104"/>
      <c r="J15" s="106"/>
      <c r="K15" s="90"/>
      <c r="L15" s="209"/>
      <c r="M15" s="225"/>
    </row>
    <row r="16" spans="1:13" ht="21.95" customHeight="1" thickBot="1" x14ac:dyDescent="0.35">
      <c r="A16" s="120" t="s">
        <v>53</v>
      </c>
      <c r="B16" s="121"/>
      <c r="C16" s="121"/>
      <c r="D16" s="121"/>
      <c r="E16" s="121"/>
      <c r="F16" s="122" t="s">
        <v>53</v>
      </c>
      <c r="G16" s="123"/>
      <c r="H16" s="123"/>
      <c r="I16" s="123"/>
      <c r="J16" s="70"/>
      <c r="K16" s="123"/>
      <c r="L16" s="124"/>
      <c r="M16" s="125"/>
    </row>
    <row r="17" spans="1:16" ht="21.95" customHeight="1" thickTop="1" x14ac:dyDescent="0.3">
      <c r="A17" s="126" t="s">
        <v>43</v>
      </c>
      <c r="B17" s="128" t="s">
        <v>14</v>
      </c>
      <c r="C17" s="128" t="s">
        <v>15</v>
      </c>
      <c r="D17" s="128" t="s">
        <v>16</v>
      </c>
      <c r="E17" s="130" t="s">
        <v>17</v>
      </c>
      <c r="F17" s="126" t="s">
        <v>43</v>
      </c>
      <c r="G17" s="132" t="s">
        <v>17</v>
      </c>
      <c r="H17" s="132" t="s">
        <v>29</v>
      </c>
      <c r="I17" s="133" t="s">
        <v>41</v>
      </c>
      <c r="J17" s="81" t="s">
        <v>42</v>
      </c>
      <c r="K17" s="134" t="s">
        <v>10</v>
      </c>
      <c r="L17" s="220" t="s">
        <v>18</v>
      </c>
      <c r="M17" s="222" t="s">
        <v>8</v>
      </c>
    </row>
    <row r="18" spans="1:16" ht="21.75" customHeight="1" x14ac:dyDescent="0.3">
      <c r="A18" s="127"/>
      <c r="B18" s="129"/>
      <c r="C18" s="129"/>
      <c r="D18" s="129"/>
      <c r="E18" s="131"/>
      <c r="F18" s="127"/>
      <c r="G18" s="78"/>
      <c r="H18" s="78"/>
      <c r="I18" s="80"/>
      <c r="J18" s="82"/>
      <c r="K18" s="135"/>
      <c r="L18" s="221"/>
      <c r="M18" s="223"/>
    </row>
    <row r="19" spans="1:16" ht="21.95" customHeight="1" x14ac:dyDescent="0.3">
      <c r="A19" s="140">
        <f>J7*2</f>
        <v>0</v>
      </c>
      <c r="B19" s="4"/>
      <c r="C19" s="4"/>
      <c r="D19" s="4"/>
      <c r="E19" s="13" t="s">
        <v>1</v>
      </c>
      <c r="F19" s="142">
        <f>$A$19</f>
        <v>0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43" t="str">
        <f>IF(OR(I19-H19&gt;10,I19-H19=-30),"No Peak Found",I19-H19)</f>
        <v>No Peak Found</v>
      </c>
      <c r="K19" s="144" t="s">
        <v>9</v>
      </c>
      <c r="L19" s="216" t="str">
        <f>IF(OR(COUNTIF(B19:D20, "-")+COUNTBLANK(B19:D20)=6), "Pass", IF(H19 &gt; I19, "Fail", IF(J19 &lt; 3, "Margin 부족", "Pass")))</f>
        <v>Pass</v>
      </c>
      <c r="M19" s="214" t="s">
        <v>11</v>
      </c>
    </row>
    <row r="20" spans="1:16" ht="21.95" customHeight="1" x14ac:dyDescent="0.3">
      <c r="A20" s="141"/>
      <c r="B20" s="4"/>
      <c r="C20" s="4"/>
      <c r="D20" s="4"/>
      <c r="E20" s="13" t="s">
        <v>0</v>
      </c>
      <c r="F20" s="142"/>
      <c r="G20" s="99"/>
      <c r="H20" s="101"/>
      <c r="I20" s="103"/>
      <c r="J20" s="143"/>
      <c r="K20" s="144"/>
      <c r="L20" s="217"/>
      <c r="M20" s="218"/>
    </row>
    <row r="21" spans="1:16" ht="21.95" customHeight="1" x14ac:dyDescent="0.3">
      <c r="A21" s="140">
        <f>J7*3</f>
        <v>0</v>
      </c>
      <c r="B21" s="4"/>
      <c r="C21" s="4"/>
      <c r="D21" s="4"/>
      <c r="E21" s="13" t="s">
        <v>1</v>
      </c>
      <c r="F21" s="148">
        <f>$A$21</f>
        <v>0</v>
      </c>
      <c r="G21" s="99" t="str">
        <f>IF(COUNT(B21:D21)=0, "H", IF(COUNT(B22:D22)=0, "V", IF(MAX(B21:D21) &gt;= MAX(B22:D22), "V", "H")))</f>
        <v>H</v>
      </c>
      <c r="H21" s="101">
        <f>MAX(B21:D22)</f>
        <v>0</v>
      </c>
      <c r="I21" s="149">
        <v>-30</v>
      </c>
      <c r="J21" s="143" t="str">
        <f t="shared" ref="J21" si="0">IF(OR(I21-H21&gt;10,I21-H21=-30),"No Peak Found",I21-H21)</f>
        <v>No Peak Found</v>
      </c>
      <c r="K21" s="150" t="s">
        <v>9</v>
      </c>
      <c r="L21" s="216" t="str">
        <f>IF(OR(COUNTIF(B21:D22, "-")+COUNTBLANK(B21:D22)=6), "Pass", IF(H21 &gt; I21, "Fail", IF(J21 &lt; 3, "Margin 부족", "Pass")))</f>
        <v>Pass</v>
      </c>
      <c r="M21" s="214" t="s">
        <v>11</v>
      </c>
    </row>
    <row r="22" spans="1:16" ht="21.95" customHeight="1" x14ac:dyDescent="0.3">
      <c r="A22" s="141"/>
      <c r="B22" s="4"/>
      <c r="C22" s="4"/>
      <c r="D22" s="4"/>
      <c r="E22" s="13" t="s">
        <v>0</v>
      </c>
      <c r="F22" s="148"/>
      <c r="G22" s="99"/>
      <c r="H22" s="101"/>
      <c r="I22" s="149"/>
      <c r="J22" s="143"/>
      <c r="K22" s="150"/>
      <c r="L22" s="217"/>
      <c r="M22" s="218"/>
      <c r="N22" s="8" t="s">
        <v>8</v>
      </c>
      <c r="O22" s="6"/>
      <c r="P22" s="6"/>
    </row>
    <row r="23" spans="1:16" ht="21.95" customHeight="1" x14ac:dyDescent="0.3">
      <c r="A23" s="140">
        <f>J7*4</f>
        <v>0</v>
      </c>
      <c r="B23" s="4"/>
      <c r="C23" s="4"/>
      <c r="D23" s="4"/>
      <c r="E23" s="13" t="s">
        <v>1</v>
      </c>
      <c r="F23" s="142">
        <f>$A$23</f>
        <v>0</v>
      </c>
      <c r="G23" s="99" t="str">
        <f>IF(COUNT(B23:D23)=0, "H", IF(COUNT(B24:D24)=0, "V", IF(MAX(B23:D23) &gt;= MAX(B24:D24), "V", "H")))</f>
        <v>H</v>
      </c>
      <c r="H23" s="101">
        <f>MAX(B23:D24)</f>
        <v>0</v>
      </c>
      <c r="I23" s="149">
        <v>-30</v>
      </c>
      <c r="J23" s="143" t="str">
        <f t="shared" ref="J23" si="1">IF(OR(I23-H23&gt;10,I23-H23=-30),"No Peak Found",I23-H23)</f>
        <v>No Peak Found</v>
      </c>
      <c r="K23" s="171" t="s">
        <v>9</v>
      </c>
      <c r="L23" s="216" t="str">
        <f>IF(OR(COUNTIF(B23:D24, "-")+COUNTBLANK(B23:D24)=6), "Pass", IF(H23 &gt; I23, "Fail", IF(J23 &lt; 3, "Margin 부족", "Pass")))</f>
        <v>Pass</v>
      </c>
      <c r="M23" s="214" t="s">
        <v>11</v>
      </c>
      <c r="N23" s="163" t="str">
        <f>"1. Sub6 NR Band : " &amp; VALUE(RIGHT(A7, LEN(A7)-1))</f>
        <v>1. Sub6 NR Band : 71</v>
      </c>
      <c r="O23" s="164"/>
      <c r="P23" s="164"/>
    </row>
    <row r="24" spans="1:16" ht="21.95" customHeight="1" x14ac:dyDescent="0.3">
      <c r="A24" s="141"/>
      <c r="B24" s="4"/>
      <c r="C24" s="4"/>
      <c r="D24" s="4"/>
      <c r="E24" s="13" t="s">
        <v>0</v>
      </c>
      <c r="F24" s="142"/>
      <c r="G24" s="99"/>
      <c r="H24" s="101"/>
      <c r="I24" s="149"/>
      <c r="J24" s="143"/>
      <c r="K24" s="171"/>
      <c r="L24" s="217"/>
      <c r="M24" s="218"/>
      <c r="N24" s="152" t="str">
        <f>"2. SCS : " &amp; H7 &amp; " kHz"</f>
        <v>2. SCS : 15 kHz</v>
      </c>
      <c r="O24" s="153"/>
      <c r="P24" s="153"/>
    </row>
    <row r="25" spans="1:16" ht="21.95" customHeight="1" x14ac:dyDescent="0.3">
      <c r="A25" s="140">
        <f>J7*5</f>
        <v>0</v>
      </c>
      <c r="B25" s="4"/>
      <c r="C25" s="4"/>
      <c r="D25" s="4"/>
      <c r="E25" s="13" t="s">
        <v>1</v>
      </c>
      <c r="F25" s="148">
        <f>$A$25</f>
        <v>0</v>
      </c>
      <c r="G25" s="99" t="str">
        <f>IF(COUNT(B25:D25)=0, "H", IF(COUNT(B26:D26)=0, "V", IF(MAX(B25:D25) &gt;= MAX(B26:D26), "V", "H")))</f>
        <v>H</v>
      </c>
      <c r="H25" s="101">
        <f>MAX(B25:D26)</f>
        <v>0</v>
      </c>
      <c r="I25" s="149">
        <v>-30</v>
      </c>
      <c r="J25" s="143" t="str">
        <f t="shared" ref="J25" si="2">IF(OR(I25-H25&gt;10,I25-H25=-30),"No Peak Found",I25-H25)</f>
        <v>No Peak Found</v>
      </c>
      <c r="K25" s="171" t="s">
        <v>9</v>
      </c>
      <c r="L25" s="216" t="str">
        <f>IF(OR(COUNTIF(B25:D26, "-")+COUNTBLANK(B25:D26)=6), "Pass", IF(H25 &gt; I25, "Fail", IF(J25 &lt; 3, "Margin 부족", "Pass")))</f>
        <v>Pass</v>
      </c>
      <c r="M25" s="214" t="s">
        <v>11</v>
      </c>
      <c r="N25" s="152" t="str">
        <f>"3. The test was performed the " &amp; I7 &amp; " antenna."</f>
        <v>3. The test was performed the  antenna.</v>
      </c>
      <c r="O25" s="153"/>
      <c r="P25" s="153"/>
    </row>
    <row r="26" spans="1:16" ht="21.95" customHeight="1" thickBot="1" x14ac:dyDescent="0.35">
      <c r="A26" s="165"/>
      <c r="B26" s="9"/>
      <c r="C26" s="9"/>
      <c r="D26" s="9"/>
      <c r="E26" s="14" t="s">
        <v>28</v>
      </c>
      <c r="F26" s="166"/>
      <c r="G26" s="167"/>
      <c r="H26" s="168"/>
      <c r="I26" s="169"/>
      <c r="J26" s="170"/>
      <c r="K26" s="172"/>
      <c r="L26" s="219"/>
      <c r="M26" s="215"/>
      <c r="N26" s="152" t="str">
        <f>"4. " &amp; LEFT(A9, FIND(" ", A9 &amp; " ") - 1) &amp; " Mode Test."</f>
        <v>4. NSA Mode Test.</v>
      </c>
      <c r="O26" s="154"/>
      <c r="P26" s="154"/>
    </row>
    <row r="27" spans="1:16" ht="24.95" customHeight="1" x14ac:dyDescent="0.3">
      <c r="A27" s="155" t="s">
        <v>32</v>
      </c>
      <c r="B27" s="156"/>
      <c r="C27" s="156"/>
      <c r="D27" s="156"/>
      <c r="E27" s="157"/>
      <c r="F27" s="159" t="s">
        <v>49</v>
      </c>
      <c r="G27" s="159"/>
      <c r="H27" s="159"/>
      <c r="I27" s="159"/>
      <c r="J27" s="159"/>
      <c r="K27" s="159"/>
      <c r="L27" s="159"/>
      <c r="M27" s="160"/>
    </row>
    <row r="28" spans="1:16" ht="24.95" customHeight="1" x14ac:dyDescent="0.3">
      <c r="A28" s="158"/>
      <c r="B28" s="156"/>
      <c r="C28" s="156"/>
      <c r="D28" s="156"/>
      <c r="E28" s="157"/>
      <c r="F28" s="161"/>
      <c r="G28" s="161"/>
      <c r="H28" s="161"/>
      <c r="I28" s="161"/>
      <c r="J28" s="161"/>
      <c r="K28" s="161"/>
      <c r="L28" s="161"/>
      <c r="M28" s="162"/>
    </row>
    <row r="29" spans="1:16" ht="21.95" customHeight="1" thickBot="1" x14ac:dyDescent="0.35">
      <c r="A29" s="174" t="s">
        <v>6</v>
      </c>
      <c r="B29" s="175"/>
      <c r="C29" s="175"/>
      <c r="D29" s="175"/>
      <c r="E29" s="176"/>
      <c r="F29" s="177" t="s">
        <v>6</v>
      </c>
      <c r="G29" s="177"/>
      <c r="H29" s="177"/>
      <c r="I29" s="177"/>
      <c r="J29" s="177"/>
      <c r="K29" s="177"/>
      <c r="L29" s="177"/>
      <c r="M29" s="177"/>
    </row>
    <row r="30" spans="1:16" ht="21.95" customHeight="1" thickTop="1" x14ac:dyDescent="0.3">
      <c r="A30" s="71" t="s">
        <v>43</v>
      </c>
      <c r="B30" s="73" t="s">
        <v>14</v>
      </c>
      <c r="C30" s="73" t="s">
        <v>15</v>
      </c>
      <c r="D30" s="73" t="s">
        <v>16</v>
      </c>
      <c r="E30" s="75" t="s">
        <v>17</v>
      </c>
      <c r="F30" s="71" t="s">
        <v>43</v>
      </c>
      <c r="G30" s="77" t="s">
        <v>17</v>
      </c>
      <c r="H30" s="77" t="s">
        <v>29</v>
      </c>
      <c r="I30" s="79" t="s">
        <v>41</v>
      </c>
      <c r="J30" s="81" t="s">
        <v>42</v>
      </c>
      <c r="K30" s="187" t="s">
        <v>10</v>
      </c>
      <c r="L30" s="212" t="s">
        <v>18</v>
      </c>
      <c r="M30" s="206" t="s">
        <v>8</v>
      </c>
    </row>
    <row r="31" spans="1:16" ht="21.95" customHeight="1" x14ac:dyDescent="0.3">
      <c r="A31" s="72"/>
      <c r="B31" s="74"/>
      <c r="C31" s="74"/>
      <c r="D31" s="74"/>
      <c r="E31" s="76"/>
      <c r="F31" s="72"/>
      <c r="G31" s="78"/>
      <c r="H31" s="78"/>
      <c r="I31" s="80"/>
      <c r="J31" s="82"/>
      <c r="K31" s="188"/>
      <c r="L31" s="213"/>
      <c r="M31" s="207"/>
    </row>
    <row r="32" spans="1:16" ht="21.95" customHeight="1" x14ac:dyDescent="0.3">
      <c r="A32" s="189" t="s">
        <v>26</v>
      </c>
      <c r="B32" s="10"/>
      <c r="C32" s="1"/>
      <c r="D32" s="1"/>
      <c r="E32" s="11" t="s">
        <v>27</v>
      </c>
      <c r="F32" s="191" t="str">
        <f>A32</f>
        <v>Spurious</v>
      </c>
      <c r="G32" s="193" t="str">
        <f>IF(COUNT(B32:D32)=0, "H", IF(COUNT(B33:D33)=0, "V", IF(MAX(B32:D32) &gt;= MAX(B33:D33), "V", "H")))</f>
        <v>H</v>
      </c>
      <c r="H32" s="195">
        <f>MAX(B32:D33)</f>
        <v>0</v>
      </c>
      <c r="I32" s="197">
        <v>-57</v>
      </c>
      <c r="J32" s="178" t="str">
        <f>IF(OR(I32-H32&gt;10,I32-H32=-57),"No Peak Found",I32-H32)</f>
        <v>No Peak Found</v>
      </c>
      <c r="K32" s="180" t="s">
        <v>9</v>
      </c>
      <c r="L32" s="208" t="str">
        <f>IF(OR(COUNTIF(B32:D33, "-")+COUNTBLANK(B32:D33)=6), "Pass", IF(H32 &gt; I32, "Fail", IF(J32 &lt; 3, "Margin 부족", "Pass")))</f>
        <v>Pass</v>
      </c>
      <c r="M32" s="210" t="s">
        <v>12</v>
      </c>
    </row>
    <row r="33" spans="1:13" ht="21.95" customHeight="1" thickBot="1" x14ac:dyDescent="0.35">
      <c r="A33" s="190"/>
      <c r="B33" s="2"/>
      <c r="C33" s="2"/>
      <c r="D33" s="2"/>
      <c r="E33" s="12" t="s">
        <v>28</v>
      </c>
      <c r="F33" s="192"/>
      <c r="G33" s="194"/>
      <c r="H33" s="196"/>
      <c r="I33" s="198"/>
      <c r="J33" s="179"/>
      <c r="K33" s="181"/>
      <c r="L33" s="209"/>
      <c r="M33" s="211"/>
    </row>
    <row r="34" spans="1:13" ht="21.95" customHeight="1" thickBot="1" x14ac:dyDescent="0.35">
      <c r="A34" s="184" t="s">
        <v>33</v>
      </c>
      <c r="B34" s="185"/>
      <c r="C34" s="185"/>
      <c r="D34" s="185"/>
      <c r="E34" s="186"/>
      <c r="F34" s="70" t="s">
        <v>33</v>
      </c>
      <c r="G34" s="70"/>
      <c r="H34" s="70"/>
      <c r="I34" s="70"/>
      <c r="J34" s="70"/>
      <c r="K34" s="70"/>
      <c r="L34" s="70"/>
      <c r="M34" s="70"/>
    </row>
    <row r="35" spans="1:13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212" t="s">
        <v>18</v>
      </c>
      <c r="M35" s="206" t="s">
        <v>8</v>
      </c>
    </row>
    <row r="36" spans="1:13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213"/>
      <c r="M36" s="207"/>
    </row>
    <row r="37" spans="1:13" ht="21.95" customHeight="1" x14ac:dyDescent="0.3">
      <c r="A37" s="189" t="s">
        <v>26</v>
      </c>
      <c r="B37" s="3"/>
      <c r="C37" s="3"/>
      <c r="D37" s="3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-47</v>
      </c>
      <c r="J37" s="178" t="str">
        <f>IF(OR(I37-H37&gt;10,I37-H37=-47),"No Peak Found",I37-H37)</f>
        <v>No Peak Found</v>
      </c>
      <c r="K37" s="180" t="s">
        <v>9</v>
      </c>
      <c r="L37" s="208" t="str">
        <f>IF(OR(COUNTIF(B37:D38, "-")+COUNTBLANK(B37:D38)=6), "Pass", IF(H37 &gt; I37, "Fail", IF(J37 &lt; 3, "Margin 부족", "Pass")))</f>
        <v>Pass</v>
      </c>
      <c r="M37" s="210" t="s">
        <v>12</v>
      </c>
    </row>
    <row r="38" spans="1:13" ht="21.95" customHeight="1" thickBot="1" x14ac:dyDescent="0.35">
      <c r="A38" s="190"/>
      <c r="B38" s="7"/>
      <c r="C38" s="7"/>
      <c r="D38" s="7"/>
      <c r="E38" s="12" t="s">
        <v>28</v>
      </c>
      <c r="F38" s="192"/>
      <c r="G38" s="194"/>
      <c r="H38" s="196"/>
      <c r="I38" s="198"/>
      <c r="J38" s="179"/>
      <c r="K38" s="181"/>
      <c r="L38" s="209"/>
      <c r="M38" s="211"/>
    </row>
    <row r="39" spans="1:13" ht="21.95" customHeight="1" thickBot="1" x14ac:dyDescent="0.35"/>
    <row r="40" spans="1:13" ht="21.95" customHeight="1" x14ac:dyDescent="0.3">
      <c r="A40" s="30" t="s">
        <v>67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2"/>
    </row>
    <row r="41" spans="1:13" ht="21.95" customHeight="1" thickBot="1" x14ac:dyDescent="0.35">
      <c r="A41" s="33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5"/>
    </row>
    <row r="42" spans="1:13" ht="21.95" customHeight="1" x14ac:dyDescent="0.3">
      <c r="A42" s="52" t="s">
        <v>19</v>
      </c>
      <c r="B42" s="66" t="s">
        <v>47</v>
      </c>
      <c r="C42" s="52" t="s">
        <v>22</v>
      </c>
      <c r="D42" s="52" t="s">
        <v>23</v>
      </c>
      <c r="E42" s="52" t="s">
        <v>20</v>
      </c>
      <c r="F42" s="52" t="s">
        <v>21</v>
      </c>
      <c r="G42" s="52" t="s">
        <v>24</v>
      </c>
      <c r="H42" s="54" t="s">
        <v>39</v>
      </c>
      <c r="I42" s="55" t="s">
        <v>37</v>
      </c>
      <c r="J42" s="56" t="s">
        <v>40</v>
      </c>
      <c r="K42" s="57"/>
      <c r="L42" s="57"/>
      <c r="M42" s="58"/>
    </row>
    <row r="43" spans="1:13" ht="21.95" customHeight="1" x14ac:dyDescent="0.3">
      <c r="A43" s="53"/>
      <c r="B43" s="53"/>
      <c r="C43" s="53"/>
      <c r="D43" s="53"/>
      <c r="E43" s="53"/>
      <c r="F43" s="53"/>
      <c r="G43" s="53"/>
      <c r="H43" s="52"/>
      <c r="I43" s="52"/>
      <c r="J43" s="59"/>
      <c r="K43" s="60"/>
      <c r="L43" s="60"/>
      <c r="M43" s="61"/>
    </row>
    <row r="44" spans="1:13" ht="21.95" customHeight="1" x14ac:dyDescent="0.3">
      <c r="A44" s="62" t="s">
        <v>64</v>
      </c>
      <c r="B44" s="257"/>
      <c r="C44" s="36"/>
      <c r="D44" s="36"/>
      <c r="E44" s="36"/>
      <c r="F44" s="36"/>
      <c r="G44" s="36"/>
      <c r="H44" s="37">
        <v>15</v>
      </c>
      <c r="I44" s="37"/>
      <c r="J44" s="39"/>
      <c r="K44" s="40"/>
      <c r="L44" s="40"/>
      <c r="M44" s="41"/>
    </row>
    <row r="45" spans="1:13" ht="21.95" customHeight="1" thickBot="1" x14ac:dyDescent="0.35">
      <c r="A45" s="63"/>
      <c r="B45" s="258"/>
      <c r="C45" s="37"/>
      <c r="D45" s="37"/>
      <c r="E45" s="37"/>
      <c r="F45" s="37"/>
      <c r="G45" s="37"/>
      <c r="H45" s="38"/>
      <c r="I45" s="38"/>
      <c r="J45" s="42"/>
      <c r="K45" s="43"/>
      <c r="L45" s="43"/>
      <c r="M45" s="44"/>
    </row>
    <row r="46" spans="1:13" ht="21.95" customHeight="1" x14ac:dyDescent="0.3">
      <c r="A46" s="45" t="s">
        <v>44</v>
      </c>
      <c r="B46" s="46"/>
      <c r="C46" s="46"/>
      <c r="D46" s="46"/>
      <c r="E46" s="47"/>
      <c r="F46" s="51" t="s">
        <v>50</v>
      </c>
      <c r="G46" s="46"/>
      <c r="H46" s="46"/>
      <c r="I46" s="46"/>
      <c r="J46" s="46"/>
      <c r="K46" s="46"/>
      <c r="L46" s="46"/>
      <c r="M46" s="47"/>
    </row>
    <row r="47" spans="1:13" ht="21.95" customHeight="1" x14ac:dyDescent="0.3">
      <c r="A47" s="48"/>
      <c r="B47" s="49"/>
      <c r="C47" s="49"/>
      <c r="D47" s="49"/>
      <c r="E47" s="50"/>
      <c r="F47" s="49"/>
      <c r="G47" s="49"/>
      <c r="H47" s="49"/>
      <c r="I47" s="49"/>
      <c r="J47" s="49"/>
      <c r="K47" s="49"/>
      <c r="L47" s="49"/>
      <c r="M47" s="50"/>
    </row>
    <row r="48" spans="1:13" ht="21.95" customHeight="1" thickBot="1" x14ac:dyDescent="0.35">
      <c r="A48" s="67" t="s">
        <v>7</v>
      </c>
      <c r="B48" s="68"/>
      <c r="C48" s="68"/>
      <c r="D48" s="68"/>
      <c r="E48" s="69"/>
      <c r="F48" s="68" t="s">
        <v>7</v>
      </c>
      <c r="G48" s="68"/>
      <c r="H48" s="68"/>
      <c r="I48" s="68"/>
      <c r="J48" s="70"/>
      <c r="K48" s="68"/>
      <c r="L48" s="68"/>
      <c r="M48" s="69"/>
    </row>
    <row r="49" spans="1:16" ht="21.95" customHeight="1" thickTop="1" x14ac:dyDescent="0.3">
      <c r="A49" s="71" t="s">
        <v>43</v>
      </c>
      <c r="B49" s="73" t="s">
        <v>4</v>
      </c>
      <c r="C49" s="73" t="s">
        <v>15</v>
      </c>
      <c r="D49" s="73" t="s">
        <v>3</v>
      </c>
      <c r="E49" s="75" t="s">
        <v>2</v>
      </c>
      <c r="F49" s="71" t="s">
        <v>43</v>
      </c>
      <c r="G49" s="77" t="s">
        <v>17</v>
      </c>
      <c r="H49" s="77" t="s">
        <v>29</v>
      </c>
      <c r="I49" s="79" t="s">
        <v>41</v>
      </c>
      <c r="J49" s="81" t="s">
        <v>42</v>
      </c>
      <c r="K49" s="83" t="s">
        <v>10</v>
      </c>
      <c r="L49" s="212" t="s">
        <v>18</v>
      </c>
      <c r="M49" s="206" t="s">
        <v>8</v>
      </c>
    </row>
    <row r="50" spans="1:16" ht="21.95" customHeight="1" x14ac:dyDescent="0.3">
      <c r="A50" s="72"/>
      <c r="B50" s="74"/>
      <c r="C50" s="74"/>
      <c r="D50" s="74"/>
      <c r="E50" s="76"/>
      <c r="F50" s="72"/>
      <c r="G50" s="78"/>
      <c r="H50" s="78"/>
      <c r="I50" s="80"/>
      <c r="J50" s="82"/>
      <c r="K50" s="84"/>
      <c r="L50" s="213"/>
      <c r="M50" s="207"/>
    </row>
    <row r="51" spans="1:16" ht="21.95" customHeight="1" x14ac:dyDescent="0.3">
      <c r="A51" s="95" t="s">
        <v>26</v>
      </c>
      <c r="B51" s="3"/>
      <c r="C51" s="3"/>
      <c r="D51" s="3"/>
      <c r="E51" s="11" t="s">
        <v>27</v>
      </c>
      <c r="F51" s="97" t="str">
        <f>A51</f>
        <v>Spurious</v>
      </c>
      <c r="G51" s="99" t="str">
        <f>IF(COUNT(B51:D51)=0, "H", IF(COUNT(B52:D52)=0, "V", IF(MAX(B51:D51) &gt;= MAX(B52:D52), "V", "H")))</f>
        <v>H</v>
      </c>
      <c r="H51" s="101">
        <f>MAX(B51:D52)</f>
        <v>0</v>
      </c>
      <c r="I51" s="103">
        <v>-36</v>
      </c>
      <c r="J51" s="105" t="str">
        <f>IF(OR(I51-H51&gt;10,I51-H51=-36),"No Peak Found",I51-H51)</f>
        <v>No Peak Found</v>
      </c>
      <c r="K51" s="89" t="s">
        <v>9</v>
      </c>
      <c r="L51" s="208" t="str">
        <f>IF(OR(COUNTIF(B51:D52, "-")+COUNTBLANK(B51:D52)=6), "Pass", IF(H51 &gt; I51, "Fail", IF(J51 &lt; 3, "Margin 부족", "Pass")))</f>
        <v>Pass</v>
      </c>
      <c r="M51" s="224" t="s">
        <v>12</v>
      </c>
    </row>
    <row r="52" spans="1:16" ht="21.95" customHeight="1" thickBot="1" x14ac:dyDescent="0.35">
      <c r="A52" s="96"/>
      <c r="B52" s="7"/>
      <c r="C52" s="7"/>
      <c r="D52" s="7"/>
      <c r="E52" s="12" t="s">
        <v>28</v>
      </c>
      <c r="F52" s="98"/>
      <c r="G52" s="100"/>
      <c r="H52" s="102"/>
      <c r="I52" s="104"/>
      <c r="J52" s="106"/>
      <c r="K52" s="90"/>
      <c r="L52" s="209"/>
      <c r="M52" s="225"/>
    </row>
    <row r="53" spans="1:16" ht="21.95" customHeight="1" thickBot="1" x14ac:dyDescent="0.35">
      <c r="A53" s="120" t="s">
        <v>53</v>
      </c>
      <c r="B53" s="121"/>
      <c r="C53" s="121"/>
      <c r="D53" s="121"/>
      <c r="E53" s="121"/>
      <c r="F53" s="122" t="s">
        <v>53</v>
      </c>
      <c r="G53" s="123"/>
      <c r="H53" s="123"/>
      <c r="I53" s="123"/>
      <c r="J53" s="70"/>
      <c r="K53" s="123"/>
      <c r="L53" s="124"/>
      <c r="M53" s="125"/>
      <c r="N53" s="8" t="s">
        <v>8</v>
      </c>
      <c r="O53" s="6"/>
      <c r="P53" s="6"/>
    </row>
    <row r="54" spans="1:16" ht="21.95" customHeight="1" thickTop="1" x14ac:dyDescent="0.3">
      <c r="A54" s="126" t="s">
        <v>43</v>
      </c>
      <c r="B54" s="128" t="s">
        <v>14</v>
      </c>
      <c r="C54" s="128" t="s">
        <v>15</v>
      </c>
      <c r="D54" s="128" t="s">
        <v>16</v>
      </c>
      <c r="E54" s="130" t="s">
        <v>17</v>
      </c>
      <c r="F54" s="126" t="s">
        <v>43</v>
      </c>
      <c r="G54" s="132" t="s">
        <v>17</v>
      </c>
      <c r="H54" s="132" t="s">
        <v>29</v>
      </c>
      <c r="I54" s="133" t="s">
        <v>41</v>
      </c>
      <c r="J54" s="81" t="s">
        <v>42</v>
      </c>
      <c r="K54" s="134" t="s">
        <v>10</v>
      </c>
      <c r="L54" s="220" t="s">
        <v>18</v>
      </c>
      <c r="M54" s="222" t="s">
        <v>8</v>
      </c>
      <c r="N54" s="163" t="str">
        <f>"1. Sub6 NR Band : " &amp; VALUE(RIGHT(A7, LEN(A7)-1))</f>
        <v>1. Sub6 NR Band : 71</v>
      </c>
      <c r="O54" s="164"/>
      <c r="P54" s="164"/>
    </row>
    <row r="55" spans="1:16" ht="21.95" customHeight="1" x14ac:dyDescent="0.3">
      <c r="A55" s="127"/>
      <c r="B55" s="129"/>
      <c r="C55" s="129"/>
      <c r="D55" s="129"/>
      <c r="E55" s="131"/>
      <c r="F55" s="127"/>
      <c r="G55" s="78"/>
      <c r="H55" s="78"/>
      <c r="I55" s="80"/>
      <c r="J55" s="82"/>
      <c r="K55" s="135"/>
      <c r="L55" s="221"/>
      <c r="M55" s="223"/>
      <c r="N55" s="152" t="str">
        <f>"2. SCS : " &amp; H7 &amp; " kHz"</f>
        <v>2. SCS : 15 kHz</v>
      </c>
      <c r="O55" s="153"/>
      <c r="P55" s="153"/>
    </row>
    <row r="56" spans="1:16" ht="21.95" customHeight="1" x14ac:dyDescent="0.3">
      <c r="A56" s="140">
        <f>J7*2</f>
        <v>0</v>
      </c>
      <c r="B56" s="4"/>
      <c r="C56" s="4"/>
      <c r="D56" s="4"/>
      <c r="E56" s="13" t="s">
        <v>1</v>
      </c>
      <c r="F56" s="142">
        <f>$A$19</f>
        <v>0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-30</v>
      </c>
      <c r="J56" s="143" t="str">
        <f>IF(OR(I56-H56&gt;10,I56-H56=-30),"No Peak Found",I56-H56)</f>
        <v>No Peak Found</v>
      </c>
      <c r="K56" s="144" t="s">
        <v>9</v>
      </c>
      <c r="L56" s="216" t="str">
        <f>IF(OR(COUNTIF(B56:D57, "-")+COUNTBLANK(B56:D57)=6), "Pass", IF(H56 &gt; I56, "Fail", IF(J56 &lt; 3, "Margin 부족", "Pass")))</f>
        <v>Pass</v>
      </c>
      <c r="M56" s="214" t="s">
        <v>11</v>
      </c>
      <c r="N56" s="152" t="str">
        <f>"3. The test was performed the " &amp; I7 &amp; " antenna."</f>
        <v>3. The test was performed the  antenna.</v>
      </c>
      <c r="O56" s="153"/>
      <c r="P56" s="153"/>
    </row>
    <row r="57" spans="1:16" ht="21.95" customHeight="1" x14ac:dyDescent="0.3">
      <c r="A57" s="141"/>
      <c r="B57" s="4"/>
      <c r="C57" s="4"/>
      <c r="D57" s="4"/>
      <c r="E57" s="13" t="s">
        <v>0</v>
      </c>
      <c r="F57" s="142"/>
      <c r="G57" s="99"/>
      <c r="H57" s="101"/>
      <c r="I57" s="103"/>
      <c r="J57" s="143"/>
      <c r="K57" s="144"/>
      <c r="L57" s="217"/>
      <c r="M57" s="218"/>
      <c r="N57" s="152" t="str">
        <f>"4. " &amp; LEFT(A46, FIND(" ", A46 &amp; " ") - 1) &amp; " Mode Test."</f>
        <v>4. SA Mode Test.</v>
      </c>
      <c r="O57" s="154"/>
      <c r="P57" s="154"/>
    </row>
    <row r="58" spans="1:16" ht="21.95" customHeight="1" x14ac:dyDescent="0.3">
      <c r="A58" s="140">
        <f>J7*3</f>
        <v>0</v>
      </c>
      <c r="B58" s="4"/>
      <c r="C58" s="4"/>
      <c r="D58" s="4"/>
      <c r="E58" s="13" t="s">
        <v>1</v>
      </c>
      <c r="F58" s="148">
        <f>$A$21</f>
        <v>0</v>
      </c>
      <c r="G58" s="99" t="str">
        <f>IF(COUNT(B58:D58)=0, "H", IF(COUNT(B59:D59)=0, "V", IF(MAX(B58:D58) &gt;= MAX(B59:D59), "V", "H")))</f>
        <v>H</v>
      </c>
      <c r="H58" s="101">
        <f>MAX(B58:D59)</f>
        <v>0</v>
      </c>
      <c r="I58" s="149">
        <v>-30</v>
      </c>
      <c r="J58" s="143" t="str">
        <f t="shared" ref="J58" si="3">IF(OR(I58-H58&gt;10,I58-H58=-30),"No Peak Found",I58-H58)</f>
        <v>No Peak Found</v>
      </c>
      <c r="K58" s="150" t="s">
        <v>9</v>
      </c>
      <c r="L58" s="216" t="str">
        <f>IF(OR(COUNTIF(B58:D59, "-")+COUNTBLANK(B58:D59)=6), "Pass", IF(H58 &gt; I58, "Fail", IF(J58 &lt; 3, "Margin 부족", "Pass")))</f>
        <v>Pass</v>
      </c>
      <c r="M58" s="214" t="s">
        <v>11</v>
      </c>
    </row>
    <row r="59" spans="1:16" ht="21.95" customHeight="1" x14ac:dyDescent="0.3">
      <c r="A59" s="141"/>
      <c r="B59" s="4"/>
      <c r="C59" s="4"/>
      <c r="D59" s="4"/>
      <c r="E59" s="13" t="s">
        <v>0</v>
      </c>
      <c r="F59" s="148"/>
      <c r="G59" s="99"/>
      <c r="H59" s="101"/>
      <c r="I59" s="149"/>
      <c r="J59" s="143"/>
      <c r="K59" s="150"/>
      <c r="L59" s="217"/>
      <c r="M59" s="218"/>
    </row>
    <row r="60" spans="1:16" ht="21.95" customHeight="1" x14ac:dyDescent="0.3">
      <c r="A60" s="140">
        <f>J7*4</f>
        <v>0</v>
      </c>
      <c r="B60" s="4"/>
      <c r="C60" s="4"/>
      <c r="D60" s="4"/>
      <c r="E60" s="13" t="s">
        <v>1</v>
      </c>
      <c r="F60" s="142">
        <f>$A$23</f>
        <v>0</v>
      </c>
      <c r="G60" s="99" t="str">
        <f>IF(COUNT(B60:D60)=0, "H", IF(COUNT(B61:D61)=0, "V", IF(MAX(B60:D60) &gt;= MAX(B61:D61), "V", "H")))</f>
        <v>H</v>
      </c>
      <c r="H60" s="101">
        <f>MAX(B60:D61)</f>
        <v>0</v>
      </c>
      <c r="I60" s="149">
        <v>-30</v>
      </c>
      <c r="J60" s="143" t="str">
        <f t="shared" ref="J60" si="4">IF(OR(I60-H60&gt;10,I60-H60=-30),"No Peak Found",I60-H60)</f>
        <v>No Peak Found</v>
      </c>
      <c r="K60" s="171" t="s">
        <v>9</v>
      </c>
      <c r="L60" s="216" t="str">
        <f>IF(OR(COUNTIF(B60:D61, "-")+COUNTBLANK(B60:D61)=6), "Pass", IF(H60 &gt; I60, "Fail", IF(J60 &lt; 3, "Margin 부족", "Pass")))</f>
        <v>Pass</v>
      </c>
      <c r="M60" s="214" t="s">
        <v>11</v>
      </c>
    </row>
    <row r="61" spans="1:16" ht="21.95" customHeight="1" x14ac:dyDescent="0.3">
      <c r="A61" s="141"/>
      <c r="B61" s="4"/>
      <c r="C61" s="4"/>
      <c r="D61" s="4"/>
      <c r="E61" s="13" t="s">
        <v>0</v>
      </c>
      <c r="F61" s="142"/>
      <c r="G61" s="99"/>
      <c r="H61" s="101"/>
      <c r="I61" s="149"/>
      <c r="J61" s="143"/>
      <c r="K61" s="171"/>
      <c r="L61" s="217"/>
      <c r="M61" s="218"/>
    </row>
    <row r="62" spans="1:16" ht="21.95" customHeight="1" x14ac:dyDescent="0.3">
      <c r="A62" s="140">
        <f>J7*5</f>
        <v>0</v>
      </c>
      <c r="B62" s="4"/>
      <c r="C62" s="4"/>
      <c r="D62" s="4"/>
      <c r="E62" s="13" t="s">
        <v>1</v>
      </c>
      <c r="F62" s="148">
        <f>$A$25</f>
        <v>0</v>
      </c>
      <c r="G62" s="99" t="str">
        <f>IF(COUNT(B62:D62)=0, "H", IF(COUNT(B63:D63)=0, "V", IF(MAX(B62:D62) &gt;= MAX(B63:D63), "V", "H")))</f>
        <v>H</v>
      </c>
      <c r="H62" s="101">
        <f>MAX(B62:D63)</f>
        <v>0</v>
      </c>
      <c r="I62" s="149">
        <v>-30</v>
      </c>
      <c r="J62" s="143" t="str">
        <f t="shared" ref="J62" si="5">IF(OR(I62-H62&gt;10,I62-H62=-30),"No Peak Found",I62-H62)</f>
        <v>No Peak Found</v>
      </c>
      <c r="K62" s="171" t="s">
        <v>9</v>
      </c>
      <c r="L62" s="216" t="str">
        <f>IF(OR(COUNTIF(B62:D63, "-")+COUNTBLANK(B62:D63)=6), "Pass", IF(H62 &gt; I62, "Fail", IF(J62 &lt; 3, "Margin 부족", "Pass")))</f>
        <v>Pass</v>
      </c>
      <c r="M62" s="214" t="s">
        <v>11</v>
      </c>
    </row>
    <row r="63" spans="1:16" ht="21.95" customHeight="1" thickBot="1" x14ac:dyDescent="0.35">
      <c r="A63" s="165"/>
      <c r="B63" s="9"/>
      <c r="C63" s="9"/>
      <c r="D63" s="9"/>
      <c r="E63" s="14" t="s">
        <v>28</v>
      </c>
      <c r="F63" s="166"/>
      <c r="G63" s="167"/>
      <c r="H63" s="168"/>
      <c r="I63" s="169"/>
      <c r="J63" s="170"/>
      <c r="K63" s="172"/>
      <c r="L63" s="219"/>
      <c r="M63" s="215"/>
    </row>
    <row r="64" spans="1:16" ht="21.95" customHeight="1" x14ac:dyDescent="0.3">
      <c r="A64" s="155" t="s">
        <v>45</v>
      </c>
      <c r="B64" s="156"/>
      <c r="C64" s="156"/>
      <c r="D64" s="156"/>
      <c r="E64" s="157"/>
      <c r="F64" s="159" t="s">
        <v>51</v>
      </c>
      <c r="G64" s="159"/>
      <c r="H64" s="159"/>
      <c r="I64" s="159"/>
      <c r="J64" s="159"/>
      <c r="K64" s="159"/>
      <c r="L64" s="159"/>
      <c r="M64" s="160"/>
    </row>
    <row r="65" spans="1:13" ht="21.95" customHeight="1" x14ac:dyDescent="0.3">
      <c r="A65" s="158"/>
      <c r="B65" s="156"/>
      <c r="C65" s="156"/>
      <c r="D65" s="156"/>
      <c r="E65" s="157"/>
      <c r="F65" s="161"/>
      <c r="G65" s="161"/>
      <c r="H65" s="161"/>
      <c r="I65" s="161"/>
      <c r="J65" s="161"/>
      <c r="K65" s="161"/>
      <c r="L65" s="161"/>
      <c r="M65" s="162"/>
    </row>
    <row r="66" spans="1:13" ht="21.95" customHeight="1" thickBot="1" x14ac:dyDescent="0.35">
      <c r="A66" s="174" t="s">
        <v>6</v>
      </c>
      <c r="B66" s="175"/>
      <c r="C66" s="175"/>
      <c r="D66" s="175"/>
      <c r="E66" s="176"/>
      <c r="F66" s="177" t="s">
        <v>6</v>
      </c>
      <c r="G66" s="177"/>
      <c r="H66" s="177"/>
      <c r="I66" s="177"/>
      <c r="J66" s="177"/>
      <c r="K66" s="177"/>
      <c r="L66" s="177"/>
      <c r="M66" s="177"/>
    </row>
    <row r="67" spans="1:13" ht="21.95" customHeight="1" thickTop="1" x14ac:dyDescent="0.3">
      <c r="A67" s="71" t="s">
        <v>43</v>
      </c>
      <c r="B67" s="73" t="s">
        <v>14</v>
      </c>
      <c r="C67" s="73" t="s">
        <v>15</v>
      </c>
      <c r="D67" s="73" t="s">
        <v>16</v>
      </c>
      <c r="E67" s="75" t="s">
        <v>17</v>
      </c>
      <c r="F67" s="71" t="s">
        <v>43</v>
      </c>
      <c r="G67" s="77" t="s">
        <v>17</v>
      </c>
      <c r="H67" s="77" t="s">
        <v>29</v>
      </c>
      <c r="I67" s="79" t="s">
        <v>41</v>
      </c>
      <c r="J67" s="81" t="s">
        <v>42</v>
      </c>
      <c r="K67" s="187" t="s">
        <v>10</v>
      </c>
      <c r="L67" s="212" t="s">
        <v>18</v>
      </c>
      <c r="M67" s="206" t="s">
        <v>8</v>
      </c>
    </row>
    <row r="68" spans="1:13" ht="21.95" customHeight="1" x14ac:dyDescent="0.3">
      <c r="A68" s="72"/>
      <c r="B68" s="74"/>
      <c r="C68" s="74"/>
      <c r="D68" s="74"/>
      <c r="E68" s="76"/>
      <c r="F68" s="72"/>
      <c r="G68" s="78"/>
      <c r="H68" s="78"/>
      <c r="I68" s="80"/>
      <c r="J68" s="82"/>
      <c r="K68" s="188"/>
      <c r="L68" s="213"/>
      <c r="M68" s="207"/>
    </row>
    <row r="69" spans="1:13" ht="21.95" customHeight="1" x14ac:dyDescent="0.3">
      <c r="A69" s="189" t="s">
        <v>26</v>
      </c>
      <c r="B69" s="10"/>
      <c r="C69" s="1"/>
      <c r="D69" s="1"/>
      <c r="E69" s="11" t="s">
        <v>27</v>
      </c>
      <c r="F69" s="191" t="str">
        <f>A69</f>
        <v>Spurious</v>
      </c>
      <c r="G69" s="193" t="str">
        <f>IF(COUNT(B69:D69)=0, "H", IF(COUNT(B70:D70)=0, "V", IF(MAX(B69:D69) &gt;= MAX(B70:D70), "V", "H")))</f>
        <v>H</v>
      </c>
      <c r="H69" s="195">
        <f>MAX(B69:D70)</f>
        <v>0</v>
      </c>
      <c r="I69" s="197">
        <v>-57</v>
      </c>
      <c r="J69" s="178" t="str">
        <f>IF(OR(I69-H69&gt;10,I69-H69=-57),"No Peak Found",I69-H69)</f>
        <v>No Peak Found</v>
      </c>
      <c r="K69" s="180" t="s">
        <v>9</v>
      </c>
      <c r="L69" s="208" t="str">
        <f>IF(OR(COUNTIF(B69:D70, "-")+COUNTBLANK(B69:D70)=6), "Pass", IF(H69 &gt; I69, "Fail", IF(J69 &lt; 3, "Margin 부족", "Pass")))</f>
        <v>Pass</v>
      </c>
      <c r="M69" s="210" t="s">
        <v>12</v>
      </c>
    </row>
    <row r="70" spans="1:13" ht="21.95" customHeight="1" thickBot="1" x14ac:dyDescent="0.35">
      <c r="A70" s="190"/>
      <c r="B70" s="2"/>
      <c r="C70" s="2"/>
      <c r="D70" s="2"/>
      <c r="E70" s="12" t="s">
        <v>28</v>
      </c>
      <c r="F70" s="192"/>
      <c r="G70" s="194"/>
      <c r="H70" s="196"/>
      <c r="I70" s="198"/>
      <c r="J70" s="179"/>
      <c r="K70" s="181"/>
      <c r="L70" s="209"/>
      <c r="M70" s="211"/>
    </row>
    <row r="71" spans="1:13" ht="21.95" customHeight="1" thickBot="1" x14ac:dyDescent="0.35">
      <c r="A71" s="184" t="s">
        <v>33</v>
      </c>
      <c r="B71" s="185"/>
      <c r="C71" s="185"/>
      <c r="D71" s="185"/>
      <c r="E71" s="186"/>
      <c r="F71" s="70" t="s">
        <v>33</v>
      </c>
      <c r="G71" s="70"/>
      <c r="H71" s="70"/>
      <c r="I71" s="70"/>
      <c r="J71" s="70"/>
      <c r="K71" s="70"/>
      <c r="L71" s="70"/>
      <c r="M71" s="70"/>
    </row>
    <row r="72" spans="1:13" ht="21.95" customHeight="1" thickTop="1" x14ac:dyDescent="0.3">
      <c r="A72" s="71" t="s">
        <v>43</v>
      </c>
      <c r="B72" s="73" t="s">
        <v>14</v>
      </c>
      <c r="C72" s="73" t="s">
        <v>15</v>
      </c>
      <c r="D72" s="73" t="s">
        <v>16</v>
      </c>
      <c r="E72" s="75" t="s">
        <v>17</v>
      </c>
      <c r="F72" s="71" t="s">
        <v>43</v>
      </c>
      <c r="G72" s="77" t="s">
        <v>17</v>
      </c>
      <c r="H72" s="77" t="s">
        <v>29</v>
      </c>
      <c r="I72" s="79" t="s">
        <v>41</v>
      </c>
      <c r="J72" s="81" t="s">
        <v>42</v>
      </c>
      <c r="K72" s="187" t="s">
        <v>10</v>
      </c>
      <c r="L72" s="212" t="s">
        <v>18</v>
      </c>
      <c r="M72" s="206" t="s">
        <v>8</v>
      </c>
    </row>
    <row r="73" spans="1:13" ht="21.95" customHeight="1" x14ac:dyDescent="0.3">
      <c r="A73" s="72"/>
      <c r="B73" s="74"/>
      <c r="C73" s="74"/>
      <c r="D73" s="74"/>
      <c r="E73" s="76"/>
      <c r="F73" s="72"/>
      <c r="G73" s="78"/>
      <c r="H73" s="78"/>
      <c r="I73" s="80"/>
      <c r="J73" s="82"/>
      <c r="K73" s="188"/>
      <c r="L73" s="213"/>
      <c r="M73" s="207"/>
    </row>
    <row r="74" spans="1:13" ht="21.95" customHeight="1" x14ac:dyDescent="0.3">
      <c r="A74" s="189" t="s">
        <v>26</v>
      </c>
      <c r="B74" s="10"/>
      <c r="C74" s="1"/>
      <c r="D74" s="1"/>
      <c r="E74" s="11" t="s">
        <v>27</v>
      </c>
      <c r="F74" s="191" t="str">
        <f>A74</f>
        <v>Spurious</v>
      </c>
      <c r="G74" s="193" t="str">
        <f>IF(COUNT(B74:D74)=0, "H", IF(COUNT(B75:D75)=0, "V", IF(MAX(B74:D74) &gt;= MAX(B75:D75), "V", "H")))</f>
        <v>H</v>
      </c>
      <c r="H74" s="195">
        <f>MAX(B74:D75)</f>
        <v>0</v>
      </c>
      <c r="I74" s="197">
        <v>-47</v>
      </c>
      <c r="J74" s="178" t="str">
        <f>IF(OR(I74-H74&gt;10,I74-H74=-47),"No Peak Found",I74-H74)</f>
        <v>No Peak Found</v>
      </c>
      <c r="K74" s="180" t="s">
        <v>9</v>
      </c>
      <c r="L74" s="208" t="str">
        <f>IF(OR(COUNTIF(B74:D75, "-")+COUNTBLANK(B74:D75)=6), "Pass", IF(H74 &gt; I74, "Fail", IF(J74 &lt; 3, "Margin 부족", "Pass")))</f>
        <v>Pass</v>
      </c>
      <c r="M74" s="210" t="s">
        <v>12</v>
      </c>
    </row>
    <row r="75" spans="1:13" ht="21.95" customHeight="1" thickBot="1" x14ac:dyDescent="0.35">
      <c r="A75" s="190"/>
      <c r="B75" s="2"/>
      <c r="C75" s="2"/>
      <c r="D75" s="2"/>
      <c r="E75" s="12" t="s">
        <v>28</v>
      </c>
      <c r="F75" s="192"/>
      <c r="G75" s="194"/>
      <c r="H75" s="196"/>
      <c r="I75" s="198"/>
      <c r="J75" s="179"/>
      <c r="K75" s="181"/>
      <c r="L75" s="209"/>
      <c r="M75" s="211"/>
    </row>
  </sheetData>
  <mergeCells count="309">
    <mergeCell ref="J74:J75"/>
    <mergeCell ref="K74:K75"/>
    <mergeCell ref="L74:L75"/>
    <mergeCell ref="M74:M75"/>
    <mergeCell ref="I72:I73"/>
    <mergeCell ref="J72:J73"/>
    <mergeCell ref="K72:K73"/>
    <mergeCell ref="L72:L73"/>
    <mergeCell ref="M72:M73"/>
    <mergeCell ref="A74:A75"/>
    <mergeCell ref="F74:F75"/>
    <mergeCell ref="G74:G75"/>
    <mergeCell ref="H74:H75"/>
    <mergeCell ref="I74:I75"/>
    <mergeCell ref="A71:E71"/>
    <mergeCell ref="F71:M71"/>
    <mergeCell ref="A72:A73"/>
    <mergeCell ref="B72:B73"/>
    <mergeCell ref="C72:C73"/>
    <mergeCell ref="D72:D73"/>
    <mergeCell ref="E72:E73"/>
    <mergeCell ref="F72:F73"/>
    <mergeCell ref="G72:G73"/>
    <mergeCell ref="H72:H73"/>
    <mergeCell ref="M67:M68"/>
    <mergeCell ref="A69:A70"/>
    <mergeCell ref="F69:F70"/>
    <mergeCell ref="G69:G70"/>
    <mergeCell ref="H69:H70"/>
    <mergeCell ref="I69:I70"/>
    <mergeCell ref="J69:J70"/>
    <mergeCell ref="K69:K70"/>
    <mergeCell ref="L69:L70"/>
    <mergeCell ref="M69:M70"/>
    <mergeCell ref="G67:G68"/>
    <mergeCell ref="H67:H68"/>
    <mergeCell ref="I67:I68"/>
    <mergeCell ref="J67:J68"/>
    <mergeCell ref="K67:K68"/>
    <mergeCell ref="L67:L68"/>
    <mergeCell ref="A64:E65"/>
    <mergeCell ref="F64:M65"/>
    <mergeCell ref="A66:E66"/>
    <mergeCell ref="F66:M66"/>
    <mergeCell ref="A67:A68"/>
    <mergeCell ref="B67:B68"/>
    <mergeCell ref="C67:C68"/>
    <mergeCell ref="D67:D68"/>
    <mergeCell ref="E67:E68"/>
    <mergeCell ref="F67:F68"/>
    <mergeCell ref="M60:M61"/>
    <mergeCell ref="A62:A63"/>
    <mergeCell ref="F62:F63"/>
    <mergeCell ref="G62:G63"/>
    <mergeCell ref="H62:H63"/>
    <mergeCell ref="I62:I63"/>
    <mergeCell ref="J62:J63"/>
    <mergeCell ref="K62:K63"/>
    <mergeCell ref="L62:L63"/>
    <mergeCell ref="M62:M63"/>
    <mergeCell ref="L58:L59"/>
    <mergeCell ref="M58:M59"/>
    <mergeCell ref="A60:A61"/>
    <mergeCell ref="F60:F61"/>
    <mergeCell ref="G60:G61"/>
    <mergeCell ref="H60:H61"/>
    <mergeCell ref="I60:I61"/>
    <mergeCell ref="J60:J61"/>
    <mergeCell ref="K60:K61"/>
    <mergeCell ref="L60:L61"/>
    <mergeCell ref="M56:M57"/>
    <mergeCell ref="N56:P56"/>
    <mergeCell ref="N57:P57"/>
    <mergeCell ref="A58:A59"/>
    <mergeCell ref="F58:F59"/>
    <mergeCell ref="G58:G59"/>
    <mergeCell ref="H58:H59"/>
    <mergeCell ref="I58:I59"/>
    <mergeCell ref="J58:J59"/>
    <mergeCell ref="K58:K59"/>
    <mergeCell ref="N54:P54"/>
    <mergeCell ref="N55:P55"/>
    <mergeCell ref="A56:A57"/>
    <mergeCell ref="F56:F57"/>
    <mergeCell ref="G56:G57"/>
    <mergeCell ref="H56:H57"/>
    <mergeCell ref="I56:I57"/>
    <mergeCell ref="J56:J57"/>
    <mergeCell ref="K56:K57"/>
    <mergeCell ref="L56:L57"/>
    <mergeCell ref="H54:H55"/>
    <mergeCell ref="I54:I55"/>
    <mergeCell ref="J54:J55"/>
    <mergeCell ref="K54:K55"/>
    <mergeCell ref="L54:L55"/>
    <mergeCell ref="M54:M55"/>
    <mergeCell ref="M51:M52"/>
    <mergeCell ref="A53:E53"/>
    <mergeCell ref="F53:M53"/>
    <mergeCell ref="A54:A55"/>
    <mergeCell ref="B54:B55"/>
    <mergeCell ref="C54:C55"/>
    <mergeCell ref="D54:D55"/>
    <mergeCell ref="E54:E55"/>
    <mergeCell ref="F54:F55"/>
    <mergeCell ref="G54:G55"/>
    <mergeCell ref="L49:L50"/>
    <mergeCell ref="M49:M50"/>
    <mergeCell ref="A51:A52"/>
    <mergeCell ref="F51:F52"/>
    <mergeCell ref="G51:G52"/>
    <mergeCell ref="H51:H52"/>
    <mergeCell ref="I51:I52"/>
    <mergeCell ref="J51:J52"/>
    <mergeCell ref="K51:K52"/>
    <mergeCell ref="L51:L52"/>
    <mergeCell ref="F49:F50"/>
    <mergeCell ref="G49:G50"/>
    <mergeCell ref="H49:H50"/>
    <mergeCell ref="I49:I50"/>
    <mergeCell ref="J49:J50"/>
    <mergeCell ref="K49:K50"/>
    <mergeCell ref="J44:M45"/>
    <mergeCell ref="A46:E47"/>
    <mergeCell ref="F46:M47"/>
    <mergeCell ref="A48:E48"/>
    <mergeCell ref="F48:M48"/>
    <mergeCell ref="A49:A50"/>
    <mergeCell ref="B49:B50"/>
    <mergeCell ref="C49:C50"/>
    <mergeCell ref="D49:D50"/>
    <mergeCell ref="E49:E50"/>
    <mergeCell ref="J42:M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A40:M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M35:M36"/>
    <mergeCell ref="A37:A38"/>
    <mergeCell ref="F37:F38"/>
    <mergeCell ref="G37:G38"/>
    <mergeCell ref="H37:H38"/>
    <mergeCell ref="I37:I38"/>
    <mergeCell ref="J37:J38"/>
    <mergeCell ref="K37:K38"/>
    <mergeCell ref="L37:L38"/>
    <mergeCell ref="M37:M38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J32:J33"/>
    <mergeCell ref="K32:K33"/>
    <mergeCell ref="L32:L33"/>
    <mergeCell ref="M32:M33"/>
    <mergeCell ref="A34:E34"/>
    <mergeCell ref="F34:M34"/>
    <mergeCell ref="I30:I31"/>
    <mergeCell ref="J30:J31"/>
    <mergeCell ref="K30:K31"/>
    <mergeCell ref="L30:L31"/>
    <mergeCell ref="M30:M31"/>
    <mergeCell ref="A32:A33"/>
    <mergeCell ref="F32:F33"/>
    <mergeCell ref="G32:G33"/>
    <mergeCell ref="H32:H33"/>
    <mergeCell ref="I32:I33"/>
    <mergeCell ref="A29:E29"/>
    <mergeCell ref="F29:M29"/>
    <mergeCell ref="A30:A31"/>
    <mergeCell ref="B30:B31"/>
    <mergeCell ref="C30:C31"/>
    <mergeCell ref="D30:D31"/>
    <mergeCell ref="E30:E31"/>
    <mergeCell ref="F30:F31"/>
    <mergeCell ref="G30:G31"/>
    <mergeCell ref="H30:H31"/>
    <mergeCell ref="K25:K26"/>
    <mergeCell ref="L25:L26"/>
    <mergeCell ref="M25:M26"/>
    <mergeCell ref="N25:P25"/>
    <mergeCell ref="N26:P26"/>
    <mergeCell ref="A27:E28"/>
    <mergeCell ref="F27:M28"/>
    <mergeCell ref="L23:L24"/>
    <mergeCell ref="M23:M24"/>
    <mergeCell ref="N23:P23"/>
    <mergeCell ref="N24:P24"/>
    <mergeCell ref="A25:A26"/>
    <mergeCell ref="F25:F26"/>
    <mergeCell ref="G25:G26"/>
    <mergeCell ref="H25:H26"/>
    <mergeCell ref="I25:I26"/>
    <mergeCell ref="J25:J26"/>
    <mergeCell ref="K21:K22"/>
    <mergeCell ref="L21:L22"/>
    <mergeCell ref="M21:M22"/>
    <mergeCell ref="A23:A24"/>
    <mergeCell ref="F23:F24"/>
    <mergeCell ref="G23:G24"/>
    <mergeCell ref="H23:H24"/>
    <mergeCell ref="I23:I24"/>
    <mergeCell ref="J23:J24"/>
    <mergeCell ref="K23:K24"/>
    <mergeCell ref="A21:A22"/>
    <mergeCell ref="F21:F22"/>
    <mergeCell ref="G21:G22"/>
    <mergeCell ref="H21:H22"/>
    <mergeCell ref="I21:I22"/>
    <mergeCell ref="J21:J22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</mergeCells>
  <phoneticPr fontId="1" type="noConversion"/>
  <conditionalFormatting sqref="J14">
    <cfRule type="cellIs" dxfId="276" priority="44" operator="lessThan">
      <formula>10</formula>
    </cfRule>
  </conditionalFormatting>
  <conditionalFormatting sqref="J14">
    <cfRule type="cellIs" dxfId="275" priority="43" operator="equal">
      <formula>-36</formula>
    </cfRule>
  </conditionalFormatting>
  <conditionalFormatting sqref="L14">
    <cfRule type="cellIs" dxfId="274" priority="42" operator="equal">
      <formula>"Fail"</formula>
    </cfRule>
  </conditionalFormatting>
  <conditionalFormatting sqref="J19">
    <cfRule type="cellIs" dxfId="273" priority="40" operator="equal">
      <formula>-30</formula>
    </cfRule>
    <cfRule type="cellIs" dxfId="272" priority="41" operator="lessThan">
      <formula>10</formula>
    </cfRule>
  </conditionalFormatting>
  <conditionalFormatting sqref="L19">
    <cfRule type="cellIs" dxfId="271" priority="39" operator="equal">
      <formula>"Fail"</formula>
    </cfRule>
  </conditionalFormatting>
  <conditionalFormatting sqref="L21">
    <cfRule type="cellIs" dxfId="270" priority="38" operator="equal">
      <formula>"Fail"</formula>
    </cfRule>
  </conditionalFormatting>
  <conditionalFormatting sqref="L23">
    <cfRule type="cellIs" dxfId="269" priority="37" operator="equal">
      <formula>"Fail"</formula>
    </cfRule>
  </conditionalFormatting>
  <conditionalFormatting sqref="L25">
    <cfRule type="cellIs" dxfId="268" priority="36" operator="equal">
      <formula>"Fail"</formula>
    </cfRule>
  </conditionalFormatting>
  <conditionalFormatting sqref="V28">
    <cfRule type="cellIs" dxfId="267" priority="35" operator="equal">
      <formula>"Fail"</formula>
    </cfRule>
  </conditionalFormatting>
  <conditionalFormatting sqref="L14:L15 L19:L26">
    <cfRule type="cellIs" dxfId="266" priority="34" operator="equal">
      <formula>"Pass"</formula>
    </cfRule>
  </conditionalFormatting>
  <conditionalFormatting sqref="L32">
    <cfRule type="cellIs" dxfId="265" priority="33" operator="equal">
      <formula>"Fail"</formula>
    </cfRule>
  </conditionalFormatting>
  <conditionalFormatting sqref="L32:L33">
    <cfRule type="cellIs" dxfId="264" priority="32" operator="equal">
      <formula>"Pass"</formula>
    </cfRule>
  </conditionalFormatting>
  <conditionalFormatting sqref="L37">
    <cfRule type="cellIs" dxfId="263" priority="31" operator="equal">
      <formula>"Fail"</formula>
    </cfRule>
  </conditionalFormatting>
  <conditionalFormatting sqref="L37:L38">
    <cfRule type="cellIs" dxfId="262" priority="30" operator="equal">
      <formula>"Pass"</formula>
    </cfRule>
  </conditionalFormatting>
  <conditionalFormatting sqref="B14:D15">
    <cfRule type="top10" dxfId="261" priority="29" rank="1"/>
  </conditionalFormatting>
  <conditionalFormatting sqref="B19:D20">
    <cfRule type="top10" dxfId="260" priority="28" rank="1"/>
  </conditionalFormatting>
  <conditionalFormatting sqref="B21:D22">
    <cfRule type="top10" dxfId="259" priority="27" rank="1"/>
  </conditionalFormatting>
  <conditionalFormatting sqref="B23:D24">
    <cfRule type="top10" dxfId="258" priority="26" rank="1"/>
  </conditionalFormatting>
  <conditionalFormatting sqref="B25:D26">
    <cfRule type="top10" dxfId="257" priority="25" rank="1"/>
  </conditionalFormatting>
  <conditionalFormatting sqref="J21 J23 J25">
    <cfRule type="cellIs" dxfId="256" priority="23" operator="equal">
      <formula>-30</formula>
    </cfRule>
    <cfRule type="cellIs" dxfId="255" priority="24" operator="lessThan">
      <formula>10</formula>
    </cfRule>
  </conditionalFormatting>
  <conditionalFormatting sqref="J51">
    <cfRule type="cellIs" dxfId="254" priority="22" operator="lessThan">
      <formula>10</formula>
    </cfRule>
  </conditionalFormatting>
  <conditionalFormatting sqref="J51">
    <cfRule type="cellIs" dxfId="253" priority="21" operator="equal">
      <formula>-36</formula>
    </cfRule>
  </conditionalFormatting>
  <conditionalFormatting sqref="L51">
    <cfRule type="cellIs" dxfId="252" priority="20" operator="equal">
      <formula>"Fail"</formula>
    </cfRule>
  </conditionalFormatting>
  <conditionalFormatting sqref="J56">
    <cfRule type="cellIs" dxfId="251" priority="18" operator="equal">
      <formula>-30</formula>
    </cfRule>
    <cfRule type="cellIs" dxfId="250" priority="19" operator="lessThan">
      <formula>10</formula>
    </cfRule>
  </conditionalFormatting>
  <conditionalFormatting sqref="L56">
    <cfRule type="cellIs" dxfId="249" priority="17" operator="equal">
      <formula>"Fail"</formula>
    </cfRule>
  </conditionalFormatting>
  <conditionalFormatting sqref="L58">
    <cfRule type="cellIs" dxfId="248" priority="16" operator="equal">
      <formula>"Fail"</formula>
    </cfRule>
  </conditionalFormatting>
  <conditionalFormatting sqref="L60">
    <cfRule type="cellIs" dxfId="247" priority="15" operator="equal">
      <formula>"Fail"</formula>
    </cfRule>
  </conditionalFormatting>
  <conditionalFormatting sqref="L62">
    <cfRule type="cellIs" dxfId="246" priority="14" operator="equal">
      <formula>"Fail"</formula>
    </cfRule>
  </conditionalFormatting>
  <conditionalFormatting sqref="L51:L52 L56:L63">
    <cfRule type="cellIs" dxfId="245" priority="13" operator="equal">
      <formula>"Pass"</formula>
    </cfRule>
  </conditionalFormatting>
  <conditionalFormatting sqref="L69">
    <cfRule type="cellIs" dxfId="244" priority="12" operator="equal">
      <formula>"Fail"</formula>
    </cfRule>
  </conditionalFormatting>
  <conditionalFormatting sqref="L69:L70">
    <cfRule type="cellIs" dxfId="243" priority="11" operator="equal">
      <formula>"Pass"</formula>
    </cfRule>
  </conditionalFormatting>
  <conditionalFormatting sqref="L74">
    <cfRule type="cellIs" dxfId="242" priority="10" operator="equal">
      <formula>"Fail"</formula>
    </cfRule>
  </conditionalFormatting>
  <conditionalFormatting sqref="L74:L75">
    <cfRule type="cellIs" dxfId="241" priority="9" operator="equal">
      <formula>"Pass"</formula>
    </cfRule>
  </conditionalFormatting>
  <conditionalFormatting sqref="B51:D52">
    <cfRule type="top10" dxfId="240" priority="8" rank="1"/>
  </conditionalFormatting>
  <conditionalFormatting sqref="B56:D57">
    <cfRule type="top10" dxfId="239" priority="7" rank="1"/>
  </conditionalFormatting>
  <conditionalFormatting sqref="B58:D59">
    <cfRule type="top10" dxfId="238" priority="6" rank="1"/>
  </conditionalFormatting>
  <conditionalFormatting sqref="B60:D61">
    <cfRule type="top10" dxfId="237" priority="5" rank="1"/>
  </conditionalFormatting>
  <conditionalFormatting sqref="B62:D63">
    <cfRule type="top10" dxfId="236" priority="4" rank="1"/>
  </conditionalFormatting>
  <conditionalFormatting sqref="J58 J60 J62">
    <cfRule type="cellIs" dxfId="235" priority="2" operator="equal">
      <formula>-30</formula>
    </cfRule>
    <cfRule type="cellIs" dxfId="234" priority="3" operator="lessThan">
      <formula>10</formula>
    </cfRule>
  </conditionalFormatting>
  <conditionalFormatting sqref="B37:D38">
    <cfRule type="top10" dxfId="233" priority="1" rank="1"/>
  </conditionalFormatting>
  <dataValidations count="1">
    <dataValidation type="list" allowBlank="1" showInputMessage="1" showErrorMessage="1" sqref="M14 M25 M19 M21 M23 M32:M33 M51 M62 M56 M58 M60 M74:M75 M69:M70 M37:M38" xr:uid="{DCB699C9-8C13-4431-99C2-BDF5058DA95E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7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DA7A5-3D6D-47EA-AEBE-E31F3E5421D0}">
  <dimension ref="A1:P85"/>
  <sheetViews>
    <sheetView view="pageBreakPreview" zoomScale="85" zoomScaleNormal="100" zoomScaleSheetLayoutView="85" workbookViewId="0">
      <selection activeCell="F9" sqref="F9:M10"/>
    </sheetView>
  </sheetViews>
  <sheetFormatPr defaultRowHeight="16.5" outlineLevelCol="1" x14ac:dyDescent="0.3"/>
  <cols>
    <col min="1" max="11" width="12.625" style="6" customWidth="1"/>
    <col min="12" max="13" width="12.625" style="6" hidden="1" customWidth="1" outlineLevel="1"/>
    <col min="14" max="14" width="12.625" style="6" customWidth="1" collapsed="1"/>
    <col min="15" max="16" width="12.625" style="6" customWidth="1"/>
    <col min="17" max="22" width="12.625" customWidth="1"/>
  </cols>
  <sheetData>
    <row r="1" spans="1:14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4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36</v>
      </c>
      <c r="H2" s="28"/>
      <c r="I2" s="28"/>
      <c r="J2" s="28"/>
      <c r="K2" s="28"/>
      <c r="L2" s="28"/>
      <c r="M2" s="29"/>
    </row>
    <row r="3" spans="1:14" ht="24.95" customHeight="1" x14ac:dyDescent="0.3">
      <c r="A3" s="30" t="s">
        <v>38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4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4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4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4" ht="20.100000000000001" customHeight="1" x14ac:dyDescent="0.3">
      <c r="A7" s="62" t="s">
        <v>55</v>
      </c>
      <c r="B7" s="36"/>
      <c r="C7" s="36"/>
      <c r="D7" s="36"/>
      <c r="E7" s="36"/>
      <c r="F7" s="36"/>
      <c r="G7" s="36"/>
      <c r="H7" s="37">
        <v>30</v>
      </c>
      <c r="I7" s="37"/>
      <c r="J7" s="39"/>
      <c r="K7" s="40"/>
      <c r="L7" s="40"/>
      <c r="M7" s="41"/>
    </row>
    <row r="8" spans="1:14" ht="20.100000000000001" customHeight="1" thickBot="1" x14ac:dyDescent="0.35">
      <c r="A8" s="63"/>
      <c r="B8" s="37"/>
      <c r="C8" s="37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4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4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  <c r="N10" s="19"/>
    </row>
    <row r="11" spans="1:14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4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85" t="s">
        <v>18</v>
      </c>
      <c r="M12" s="87" t="s">
        <v>8</v>
      </c>
    </row>
    <row r="13" spans="1:14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86"/>
      <c r="M13" s="88"/>
    </row>
    <row r="14" spans="1:14" ht="21.95" customHeight="1" x14ac:dyDescent="0.3">
      <c r="A14" s="95" t="s">
        <v>26</v>
      </c>
      <c r="B14" s="3"/>
      <c r="C14" s="3"/>
      <c r="D14" s="3"/>
      <c r="E14" s="11" t="s">
        <v>27</v>
      </c>
      <c r="F14" s="97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91" t="str">
        <f>IF(OR(COUNTIF(B14:D15, "-")+COUNTBLANK(B14:D15)=6), "Pass", IF(H14 &gt; I14, "Fail", IF(J14 &lt; 3, "Margin 부족", "Pass")))</f>
        <v>Pass</v>
      </c>
      <c r="M14" s="93" t="s">
        <v>12</v>
      </c>
    </row>
    <row r="15" spans="1:14" ht="21.95" customHeight="1" thickBot="1" x14ac:dyDescent="0.35">
      <c r="A15" s="96"/>
      <c r="B15" s="7"/>
      <c r="C15" s="7"/>
      <c r="D15" s="7"/>
      <c r="E15" s="12" t="s">
        <v>28</v>
      </c>
      <c r="F15" s="98"/>
      <c r="G15" s="100"/>
      <c r="H15" s="102"/>
      <c r="I15" s="104"/>
      <c r="J15" s="106"/>
      <c r="K15" s="90"/>
      <c r="L15" s="92"/>
      <c r="M15" s="94"/>
    </row>
    <row r="16" spans="1:14" ht="21.95" customHeight="1" thickBot="1" x14ac:dyDescent="0.35">
      <c r="A16" s="107" t="s">
        <v>57</v>
      </c>
      <c r="B16" s="108"/>
      <c r="C16" s="108"/>
      <c r="D16" s="108"/>
      <c r="E16" s="109"/>
      <c r="F16" s="108" t="s">
        <v>56</v>
      </c>
      <c r="G16" s="108"/>
      <c r="H16" s="108"/>
      <c r="I16" s="108"/>
      <c r="J16" s="70"/>
      <c r="K16" s="108"/>
      <c r="L16" s="108"/>
      <c r="M16" s="108"/>
    </row>
    <row r="17" spans="1:16" ht="21.95" customHeight="1" thickTop="1" x14ac:dyDescent="0.3">
      <c r="A17" s="71" t="s">
        <v>43</v>
      </c>
      <c r="B17" s="73" t="s">
        <v>14</v>
      </c>
      <c r="C17" s="73" t="s">
        <v>15</v>
      </c>
      <c r="D17" s="73" t="s">
        <v>16</v>
      </c>
      <c r="E17" s="75" t="s">
        <v>17</v>
      </c>
      <c r="F17" s="71" t="s">
        <v>43</v>
      </c>
      <c r="G17" s="77" t="s">
        <v>17</v>
      </c>
      <c r="H17" s="77" t="s">
        <v>29</v>
      </c>
      <c r="I17" s="79" t="s">
        <v>41</v>
      </c>
      <c r="J17" s="81" t="s">
        <v>42</v>
      </c>
      <c r="K17" s="83" t="s">
        <v>10</v>
      </c>
      <c r="L17" s="85" t="s">
        <v>18</v>
      </c>
      <c r="M17" s="87" t="s">
        <v>8</v>
      </c>
    </row>
    <row r="18" spans="1:16" ht="21.95" customHeight="1" x14ac:dyDescent="0.3">
      <c r="A18" s="72"/>
      <c r="B18" s="74"/>
      <c r="C18" s="74"/>
      <c r="D18" s="74"/>
      <c r="E18" s="76"/>
      <c r="F18" s="72"/>
      <c r="G18" s="78"/>
      <c r="H18" s="78"/>
      <c r="I18" s="80"/>
      <c r="J18" s="82"/>
      <c r="K18" s="84"/>
      <c r="L18" s="86"/>
      <c r="M18" s="88"/>
    </row>
    <row r="19" spans="1:16" ht="21.95" customHeight="1" x14ac:dyDescent="0.3">
      <c r="A19" s="110" t="s">
        <v>26</v>
      </c>
      <c r="B19" s="3"/>
      <c r="C19" s="3"/>
      <c r="D19" s="3"/>
      <c r="E19" s="11" t="s">
        <v>27</v>
      </c>
      <c r="F19" s="112" t="str">
        <f>$A$19</f>
        <v>Spurious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05" t="str">
        <f>IF(OR(I19-H19&gt;10,I19-H19=-30),"No Peak Found",I19-H19)</f>
        <v>No Peak Found</v>
      </c>
      <c r="K19" s="89" t="s">
        <v>9</v>
      </c>
      <c r="L19" s="91" t="str">
        <f>IF(OR(COUNTIF(B19:D20, "-")+COUNTBLANK(B19:D20)=6), "Pass", IF(H19 &gt; I19, "Fail", IF(J19 &lt; 3, "Margin 부족", "Pass")))</f>
        <v>Pass</v>
      </c>
      <c r="M19" s="93" t="s">
        <v>12</v>
      </c>
    </row>
    <row r="20" spans="1:16" ht="21.95" customHeight="1" thickBot="1" x14ac:dyDescent="0.35">
      <c r="A20" s="111"/>
      <c r="B20" s="7"/>
      <c r="C20" s="7"/>
      <c r="D20" s="7"/>
      <c r="E20" s="12" t="s">
        <v>28</v>
      </c>
      <c r="F20" s="113"/>
      <c r="G20" s="114"/>
      <c r="H20" s="115"/>
      <c r="I20" s="116"/>
      <c r="J20" s="106"/>
      <c r="K20" s="117"/>
      <c r="L20" s="118"/>
      <c r="M20" s="119"/>
    </row>
    <row r="21" spans="1:16" ht="21.95" customHeight="1" thickBot="1" x14ac:dyDescent="0.35">
      <c r="A21" s="120" t="s">
        <v>58</v>
      </c>
      <c r="B21" s="121"/>
      <c r="C21" s="121"/>
      <c r="D21" s="121"/>
      <c r="E21" s="121"/>
      <c r="F21" s="122" t="s">
        <v>58</v>
      </c>
      <c r="G21" s="123"/>
      <c r="H21" s="123"/>
      <c r="I21" s="123"/>
      <c r="J21" s="70"/>
      <c r="K21" s="123"/>
      <c r="L21" s="124"/>
      <c r="M21" s="125"/>
    </row>
    <row r="22" spans="1:16" ht="21.95" customHeight="1" thickTop="1" x14ac:dyDescent="0.3">
      <c r="A22" s="126" t="s">
        <v>43</v>
      </c>
      <c r="B22" s="128" t="s">
        <v>14</v>
      </c>
      <c r="C22" s="128" t="s">
        <v>15</v>
      </c>
      <c r="D22" s="128" t="s">
        <v>16</v>
      </c>
      <c r="E22" s="130" t="s">
        <v>17</v>
      </c>
      <c r="F22" s="126" t="s">
        <v>43</v>
      </c>
      <c r="G22" s="132" t="s">
        <v>17</v>
      </c>
      <c r="H22" s="132" t="s">
        <v>29</v>
      </c>
      <c r="I22" s="133" t="s">
        <v>41</v>
      </c>
      <c r="J22" s="81" t="s">
        <v>42</v>
      </c>
      <c r="K22" s="134" t="s">
        <v>10</v>
      </c>
      <c r="L22" s="136" t="s">
        <v>18</v>
      </c>
      <c r="M22" s="138" t="s">
        <v>8</v>
      </c>
    </row>
    <row r="23" spans="1:16" ht="21.75" customHeight="1" x14ac:dyDescent="0.3">
      <c r="A23" s="127"/>
      <c r="B23" s="129"/>
      <c r="C23" s="129"/>
      <c r="D23" s="129"/>
      <c r="E23" s="131"/>
      <c r="F23" s="127"/>
      <c r="G23" s="78"/>
      <c r="H23" s="78"/>
      <c r="I23" s="80"/>
      <c r="J23" s="82"/>
      <c r="K23" s="135"/>
      <c r="L23" s="137"/>
      <c r="M23" s="139"/>
    </row>
    <row r="24" spans="1:16" ht="21.95" customHeight="1" x14ac:dyDescent="0.3">
      <c r="A24" s="140">
        <f>J7*2</f>
        <v>0</v>
      </c>
      <c r="B24" s="4"/>
      <c r="C24" s="4"/>
      <c r="D24" s="4"/>
      <c r="E24" s="13" t="s">
        <v>1</v>
      </c>
      <c r="F24" s="142">
        <f>$A$24</f>
        <v>0</v>
      </c>
      <c r="G24" s="99" t="str">
        <f>IF(COUNT(B24:D24)=0, "H", IF(COUNT(B25:D25)=0, "V", IF(MAX(B24:D24) &gt;= MAX(B25:D25), "V", "H")))</f>
        <v>H</v>
      </c>
      <c r="H24" s="101">
        <f>MAX(B24:D25)</f>
        <v>0</v>
      </c>
      <c r="I24" s="103">
        <v>-30</v>
      </c>
      <c r="J24" s="143" t="str">
        <f>IF(OR(I24-H24&gt;10,I24-H24=-30),"No Peak Found",I24-H24)</f>
        <v>No Peak Found</v>
      </c>
      <c r="K24" s="144" t="s">
        <v>9</v>
      </c>
      <c r="L24" s="117" t="str">
        <f>IF(OR(COUNTIF(B24:D25, "-")+COUNTBLANK(B24:D25)=6), "Pass", IF(H24 &gt; I24, "Fail", IF(J24 &lt; 3, "Margin 부족", "Pass")))</f>
        <v>Pass</v>
      </c>
      <c r="M24" s="146" t="s">
        <v>11</v>
      </c>
    </row>
    <row r="25" spans="1:16" ht="21.95" customHeight="1" x14ac:dyDescent="0.3">
      <c r="A25" s="141"/>
      <c r="B25" s="4"/>
      <c r="C25" s="4"/>
      <c r="D25" s="4"/>
      <c r="E25" s="13" t="s">
        <v>0</v>
      </c>
      <c r="F25" s="142"/>
      <c r="G25" s="99"/>
      <c r="H25" s="101"/>
      <c r="I25" s="103"/>
      <c r="J25" s="143"/>
      <c r="K25" s="144"/>
      <c r="L25" s="145"/>
      <c r="M25" s="147"/>
    </row>
    <row r="26" spans="1:16" ht="21.95" customHeight="1" x14ac:dyDescent="0.3">
      <c r="A26" s="140">
        <f>J7*3</f>
        <v>0</v>
      </c>
      <c r="B26" s="4"/>
      <c r="C26" s="4"/>
      <c r="D26" s="4"/>
      <c r="E26" s="13" t="s">
        <v>1</v>
      </c>
      <c r="F26" s="148">
        <f>$A$26</f>
        <v>0</v>
      </c>
      <c r="G26" s="99" t="str">
        <f>IF(COUNT(B26:D26)=0, "H", IF(COUNT(B27:D27)=0, "V", IF(MAX(B26:D26) &gt;= MAX(B27:D27), "V", "H")))</f>
        <v>H</v>
      </c>
      <c r="H26" s="101">
        <f>MAX(B26:D27)</f>
        <v>0</v>
      </c>
      <c r="I26" s="149">
        <v>-30</v>
      </c>
      <c r="J26" s="143" t="str">
        <f t="shared" ref="J26" si="0">IF(OR(I26-H26&gt;10,I26-H26=-30),"No Peak Found",I26-H26)</f>
        <v>No Peak Found</v>
      </c>
      <c r="K26" s="150" t="s">
        <v>9</v>
      </c>
      <c r="L26" s="117" t="str">
        <f>IF(OR(COUNTIF(B26:D27, "-")+COUNTBLANK(B26:D27)=6), "Pass", IF(H26 &gt; I26, "Fail", IF(J26 &lt; 3, "Margin 부족", "Pass")))</f>
        <v>Pass</v>
      </c>
      <c r="M26" s="146" t="s">
        <v>11</v>
      </c>
    </row>
    <row r="27" spans="1:16" ht="21.95" customHeight="1" x14ac:dyDescent="0.3">
      <c r="A27" s="141"/>
      <c r="B27" s="4"/>
      <c r="C27" s="4"/>
      <c r="D27" s="4"/>
      <c r="E27" s="13" t="s">
        <v>0</v>
      </c>
      <c r="F27" s="148"/>
      <c r="G27" s="99"/>
      <c r="H27" s="101"/>
      <c r="I27" s="149"/>
      <c r="J27" s="143"/>
      <c r="K27" s="150"/>
      <c r="L27" s="145"/>
      <c r="M27" s="147"/>
      <c r="N27" s="8" t="s">
        <v>8</v>
      </c>
    </row>
    <row r="28" spans="1:16" ht="21.95" customHeight="1" x14ac:dyDescent="0.3">
      <c r="A28" s="140">
        <f>J7*4</f>
        <v>0</v>
      </c>
      <c r="B28" s="4"/>
      <c r="C28" s="4"/>
      <c r="D28" s="4"/>
      <c r="E28" s="13" t="s">
        <v>1</v>
      </c>
      <c r="F28" s="142">
        <f>$A$28</f>
        <v>0</v>
      </c>
      <c r="G28" s="99" t="str">
        <f>IF(COUNT(B28:D28)=0, "H", IF(COUNT(B29:D29)=0, "V", IF(MAX(B28:D28) &gt;= MAX(B29:D29), "V", "H")))</f>
        <v>H</v>
      </c>
      <c r="H28" s="101">
        <f>MAX(B28:D29)</f>
        <v>0</v>
      </c>
      <c r="I28" s="149">
        <v>-30</v>
      </c>
      <c r="J28" s="143" t="str">
        <f t="shared" ref="J28" si="1">IF(OR(I28-H28&gt;10,I28-H28=-30),"No Peak Found",I28-H28)</f>
        <v>No Peak Found</v>
      </c>
      <c r="K28" s="171" t="s">
        <v>9</v>
      </c>
      <c r="L28" s="117" t="str">
        <f>IF(OR(COUNTIF(B28:D29, "-")+COUNTBLANK(B28:D29)=6), "Pass", IF(H28 &gt; I28, "Fail", IF(J28 &lt; 3, "Margin 부족", "Pass")))</f>
        <v>Pass</v>
      </c>
      <c r="M28" s="146" t="s">
        <v>11</v>
      </c>
      <c r="N28" s="163" t="str">
        <f>"1. Sub6 NR Band : " &amp; VALUE(RIGHT(A7, LEN(A7)-1))</f>
        <v>1. Sub6 NR Band : 77</v>
      </c>
      <c r="O28" s="164"/>
      <c r="P28" s="164"/>
    </row>
    <row r="29" spans="1:16" ht="21.95" customHeight="1" x14ac:dyDescent="0.3">
      <c r="A29" s="141"/>
      <c r="B29" s="4"/>
      <c r="C29" s="4"/>
      <c r="D29" s="4"/>
      <c r="E29" s="13" t="s">
        <v>0</v>
      </c>
      <c r="F29" s="142"/>
      <c r="G29" s="99"/>
      <c r="H29" s="101"/>
      <c r="I29" s="149"/>
      <c r="J29" s="143"/>
      <c r="K29" s="171"/>
      <c r="L29" s="145"/>
      <c r="M29" s="147"/>
      <c r="N29" s="152" t="str">
        <f>"2. SCS : " &amp; H7 &amp; " kHz"</f>
        <v>2. SCS : 30 kHz</v>
      </c>
      <c r="O29" s="153"/>
      <c r="P29" s="153"/>
    </row>
    <row r="30" spans="1:16" ht="21.95" customHeight="1" x14ac:dyDescent="0.3">
      <c r="A30" s="140">
        <f>J7*5</f>
        <v>0</v>
      </c>
      <c r="B30" s="4"/>
      <c r="C30" s="4"/>
      <c r="D30" s="4"/>
      <c r="E30" s="13" t="s">
        <v>1</v>
      </c>
      <c r="F30" s="148">
        <f>$A$30</f>
        <v>0</v>
      </c>
      <c r="G30" s="99" t="str">
        <f>IF(COUNT(B30:D30)=0, "H", IF(COUNT(B31:D31)=0, "V", IF(MAX(B30:D30) &gt;= MAX(B31:D31), "V", "H")))</f>
        <v>H</v>
      </c>
      <c r="H30" s="101">
        <f>MAX(B30:D31)</f>
        <v>0</v>
      </c>
      <c r="I30" s="149">
        <v>-30</v>
      </c>
      <c r="J30" s="143" t="str">
        <f t="shared" ref="J30" si="2">IF(OR(I30-H30&gt;10,I30-H30=-30),"No Peak Found",I30-H30)</f>
        <v>No Peak Found</v>
      </c>
      <c r="K30" s="171" t="s">
        <v>9</v>
      </c>
      <c r="L30" s="117" t="str">
        <f>IF(OR(COUNTIF(B30:D31, "-")+COUNTBLANK(B30:D31)=6), "Pass", IF(H30 &gt; I30, "Fail", IF(J30 &lt; 3, "Margin 부족", "Pass")))</f>
        <v>Pass</v>
      </c>
      <c r="M30" s="146" t="s">
        <v>11</v>
      </c>
      <c r="N30" s="152" t="str">
        <f>"3. The test was performed the " &amp; I7 &amp; " antenna."</f>
        <v>3. The test was performed the  antenna.</v>
      </c>
      <c r="O30" s="153"/>
      <c r="P30" s="153"/>
    </row>
    <row r="31" spans="1:16" ht="21.95" customHeight="1" thickBot="1" x14ac:dyDescent="0.35">
      <c r="A31" s="165"/>
      <c r="B31" s="9"/>
      <c r="C31" s="9"/>
      <c r="D31" s="9"/>
      <c r="E31" s="14" t="s">
        <v>28</v>
      </c>
      <c r="F31" s="166"/>
      <c r="G31" s="167"/>
      <c r="H31" s="168"/>
      <c r="I31" s="169"/>
      <c r="J31" s="170"/>
      <c r="K31" s="172"/>
      <c r="L31" s="173"/>
      <c r="M31" s="151"/>
      <c r="N31" s="152" t="str">
        <f>"4. " &amp; LEFT(A9, FIND(" ", A9 &amp; " ") - 1) &amp; " Mode Test."</f>
        <v>4. NSA Mode Test.</v>
      </c>
      <c r="O31" s="154"/>
      <c r="P31" s="154"/>
    </row>
    <row r="32" spans="1:16" ht="24.95" customHeight="1" x14ac:dyDescent="0.3">
      <c r="A32" s="155" t="s">
        <v>32</v>
      </c>
      <c r="B32" s="156"/>
      <c r="C32" s="156"/>
      <c r="D32" s="156"/>
      <c r="E32" s="157"/>
      <c r="F32" s="159" t="s">
        <v>49</v>
      </c>
      <c r="G32" s="159"/>
      <c r="H32" s="159"/>
      <c r="I32" s="159"/>
      <c r="J32" s="159"/>
      <c r="K32" s="159"/>
      <c r="L32" s="159"/>
      <c r="M32" s="160"/>
    </row>
    <row r="33" spans="1:16" ht="24.95" customHeight="1" x14ac:dyDescent="0.3">
      <c r="A33" s="158"/>
      <c r="B33" s="156"/>
      <c r="C33" s="156"/>
      <c r="D33" s="156"/>
      <c r="E33" s="157"/>
      <c r="F33" s="161"/>
      <c r="G33" s="161"/>
      <c r="H33" s="161"/>
      <c r="I33" s="161"/>
      <c r="J33" s="161"/>
      <c r="K33" s="161"/>
      <c r="L33" s="161"/>
      <c r="M33" s="162"/>
    </row>
    <row r="34" spans="1:16" ht="21.95" customHeight="1" thickBot="1" x14ac:dyDescent="0.35">
      <c r="A34" s="174" t="s">
        <v>6</v>
      </c>
      <c r="B34" s="175"/>
      <c r="C34" s="175"/>
      <c r="D34" s="175"/>
      <c r="E34" s="176"/>
      <c r="F34" s="177" t="s">
        <v>6</v>
      </c>
      <c r="G34" s="177"/>
      <c r="H34" s="177"/>
      <c r="I34" s="177"/>
      <c r="J34" s="177"/>
      <c r="K34" s="177"/>
      <c r="L34" s="177"/>
      <c r="M34" s="177"/>
    </row>
    <row r="35" spans="1:16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85" t="s">
        <v>18</v>
      </c>
      <c r="M35" s="87" t="s">
        <v>8</v>
      </c>
    </row>
    <row r="36" spans="1:16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86"/>
      <c r="M36" s="88"/>
    </row>
    <row r="37" spans="1:16" ht="21.95" customHeight="1" x14ac:dyDescent="0.3">
      <c r="A37" s="189" t="s">
        <v>26</v>
      </c>
      <c r="B37" s="3"/>
      <c r="C37" s="3"/>
      <c r="D37" s="3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-57</v>
      </c>
      <c r="J37" s="178" t="str">
        <f>IF(OR(I37-H37&gt;10,I37-H37=-57),"No Peak Found",I37-H37)</f>
        <v>No Peak Found</v>
      </c>
      <c r="K37" s="180" t="s">
        <v>9</v>
      </c>
      <c r="L37" s="91" t="str">
        <f>IF(OR(COUNTIF(B37:D38, "-")+COUNTBLANK(B37:D38)=6), "Pass", IF(H37 &gt; I37, "Fail", IF(J37 &lt; 3, "Margin 부족", "Pass")))</f>
        <v>Pass</v>
      </c>
      <c r="M37" s="182" t="s">
        <v>12</v>
      </c>
      <c r="P37" s="19"/>
    </row>
    <row r="38" spans="1:16" ht="21.95" customHeight="1" thickBot="1" x14ac:dyDescent="0.35">
      <c r="A38" s="190"/>
      <c r="B38" s="7"/>
      <c r="C38" s="7"/>
      <c r="D38" s="7"/>
      <c r="E38" s="12" t="s">
        <v>28</v>
      </c>
      <c r="F38" s="192"/>
      <c r="G38" s="194"/>
      <c r="H38" s="196"/>
      <c r="I38" s="198"/>
      <c r="J38" s="179"/>
      <c r="K38" s="181"/>
      <c r="L38" s="92"/>
      <c r="M38" s="183"/>
    </row>
    <row r="39" spans="1:16" ht="21.95" customHeight="1" thickBot="1" x14ac:dyDescent="0.35">
      <c r="A39" s="184" t="s">
        <v>5</v>
      </c>
      <c r="B39" s="185"/>
      <c r="C39" s="185"/>
      <c r="D39" s="185"/>
      <c r="E39" s="186"/>
      <c r="F39" s="70" t="s">
        <v>5</v>
      </c>
      <c r="G39" s="70"/>
      <c r="H39" s="70"/>
      <c r="I39" s="70"/>
      <c r="J39" s="70"/>
      <c r="K39" s="70"/>
      <c r="L39" s="70"/>
      <c r="M39" s="70"/>
    </row>
    <row r="40" spans="1:16" ht="21.95" customHeight="1" thickTop="1" x14ac:dyDescent="0.3">
      <c r="A40" s="71" t="s">
        <v>43</v>
      </c>
      <c r="B40" s="73" t="s">
        <v>14</v>
      </c>
      <c r="C40" s="73" t="s">
        <v>15</v>
      </c>
      <c r="D40" s="73" t="s">
        <v>16</v>
      </c>
      <c r="E40" s="75" t="s">
        <v>17</v>
      </c>
      <c r="F40" s="71" t="s">
        <v>43</v>
      </c>
      <c r="G40" s="77" t="s">
        <v>17</v>
      </c>
      <c r="H40" s="77" t="s">
        <v>29</v>
      </c>
      <c r="I40" s="79" t="s">
        <v>41</v>
      </c>
      <c r="J40" s="81" t="s">
        <v>42</v>
      </c>
      <c r="K40" s="187" t="s">
        <v>10</v>
      </c>
      <c r="L40" s="85" t="s">
        <v>18</v>
      </c>
      <c r="M40" s="87" t="s">
        <v>8</v>
      </c>
    </row>
    <row r="41" spans="1:16" ht="21.95" customHeight="1" x14ac:dyDescent="0.3">
      <c r="A41" s="72"/>
      <c r="B41" s="74"/>
      <c r="C41" s="74"/>
      <c r="D41" s="74"/>
      <c r="E41" s="76"/>
      <c r="F41" s="72"/>
      <c r="G41" s="78"/>
      <c r="H41" s="78"/>
      <c r="I41" s="80"/>
      <c r="J41" s="82"/>
      <c r="K41" s="188"/>
      <c r="L41" s="86"/>
      <c r="M41" s="88"/>
    </row>
    <row r="42" spans="1:16" ht="21.95" customHeight="1" x14ac:dyDescent="0.3">
      <c r="A42" s="189" t="s">
        <v>26</v>
      </c>
      <c r="B42" s="3"/>
      <c r="C42" s="3"/>
      <c r="D42" s="3"/>
      <c r="E42" s="11" t="s">
        <v>27</v>
      </c>
      <c r="F42" s="191" t="str">
        <f>A42</f>
        <v>Spurious</v>
      </c>
      <c r="G42" s="193" t="str">
        <f>IF(COUNT(B42:D42)=0, "H", IF(COUNT(B43:D43)=0, "V", IF(MAX(B42:D42) &gt;= MAX(B43:D43), "V", "H")))</f>
        <v>H</v>
      </c>
      <c r="H42" s="195">
        <f>MAX(B42:D43)</f>
        <v>0</v>
      </c>
      <c r="I42" s="197">
        <v>-47</v>
      </c>
      <c r="J42" s="178" t="str">
        <f>IF(OR(I42-H42&gt;10,I42-H42=-47),"No Peak Found",I42-H42)</f>
        <v>No Peak Found</v>
      </c>
      <c r="K42" s="180" t="s">
        <v>9</v>
      </c>
      <c r="L42" s="91" t="str">
        <f>IF(OR(COUNTIF(B42:D43, "-")+COUNTBLANK(B42:D43)=6), "Pass", IF(H42 &gt; I42, "Fail", IF(J42 &lt; 3, "Margin 부족", "Pass")))</f>
        <v>Pass</v>
      </c>
      <c r="M42" s="182" t="s">
        <v>12</v>
      </c>
    </row>
    <row r="43" spans="1:16" ht="21.95" customHeight="1" thickBot="1" x14ac:dyDescent="0.35">
      <c r="A43" s="190"/>
      <c r="B43" s="7"/>
      <c r="C43" s="7"/>
      <c r="D43" s="7"/>
      <c r="E43" s="12" t="s">
        <v>28</v>
      </c>
      <c r="F43" s="192"/>
      <c r="G43" s="194"/>
      <c r="H43" s="196"/>
      <c r="I43" s="198"/>
      <c r="J43" s="179"/>
      <c r="K43" s="181"/>
      <c r="L43" s="92"/>
      <c r="M43" s="183"/>
    </row>
    <row r="44" spans="1:16" ht="21.95" customHeight="1" thickBot="1" x14ac:dyDescent="0.35"/>
    <row r="45" spans="1:16" ht="21.95" customHeight="1" x14ac:dyDescent="0.3">
      <c r="A45" s="30" t="s">
        <v>38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2"/>
    </row>
    <row r="46" spans="1:16" ht="21.95" customHeight="1" thickBot="1" x14ac:dyDescent="0.35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5"/>
    </row>
    <row r="47" spans="1:16" ht="21.95" customHeight="1" x14ac:dyDescent="0.3">
      <c r="A47" s="52" t="s">
        <v>19</v>
      </c>
      <c r="B47" s="66" t="s">
        <v>47</v>
      </c>
      <c r="C47" s="52" t="s">
        <v>22</v>
      </c>
      <c r="D47" s="52" t="s">
        <v>23</v>
      </c>
      <c r="E47" s="52" t="s">
        <v>20</v>
      </c>
      <c r="F47" s="52" t="s">
        <v>21</v>
      </c>
      <c r="G47" s="52" t="s">
        <v>24</v>
      </c>
      <c r="H47" s="54" t="s">
        <v>39</v>
      </c>
      <c r="I47" s="55" t="s">
        <v>37</v>
      </c>
      <c r="J47" s="56" t="s">
        <v>40</v>
      </c>
      <c r="K47" s="57"/>
      <c r="L47" s="57"/>
      <c r="M47" s="58"/>
    </row>
    <row r="48" spans="1:16" ht="21.95" customHeight="1" x14ac:dyDescent="0.3">
      <c r="A48" s="53"/>
      <c r="B48" s="53"/>
      <c r="C48" s="53"/>
      <c r="D48" s="53"/>
      <c r="E48" s="53"/>
      <c r="F48" s="53"/>
      <c r="G48" s="53"/>
      <c r="H48" s="52"/>
      <c r="I48" s="52"/>
      <c r="J48" s="59"/>
      <c r="K48" s="60"/>
      <c r="L48" s="60"/>
      <c r="M48" s="61"/>
    </row>
    <row r="49" spans="1:16" ht="21.95" customHeight="1" x14ac:dyDescent="0.3">
      <c r="A49" s="62" t="s">
        <v>55</v>
      </c>
      <c r="B49" s="257"/>
      <c r="C49" s="36"/>
      <c r="D49" s="36"/>
      <c r="E49" s="36"/>
      <c r="F49" s="36"/>
      <c r="G49" s="36"/>
      <c r="H49" s="37">
        <v>30</v>
      </c>
      <c r="I49" s="37"/>
      <c r="J49" s="39"/>
      <c r="K49" s="40"/>
      <c r="L49" s="40"/>
      <c r="M49" s="41"/>
    </row>
    <row r="50" spans="1:16" ht="21.95" customHeight="1" thickBot="1" x14ac:dyDescent="0.35">
      <c r="A50" s="63"/>
      <c r="B50" s="258"/>
      <c r="C50" s="37"/>
      <c r="D50" s="37"/>
      <c r="E50" s="37"/>
      <c r="F50" s="37"/>
      <c r="G50" s="37"/>
      <c r="H50" s="38"/>
      <c r="I50" s="38"/>
      <c r="J50" s="42"/>
      <c r="K50" s="43"/>
      <c r="L50" s="43"/>
      <c r="M50" s="44"/>
    </row>
    <row r="51" spans="1:16" ht="21.95" customHeight="1" x14ac:dyDescent="0.3">
      <c r="A51" s="45" t="s">
        <v>44</v>
      </c>
      <c r="B51" s="46"/>
      <c r="C51" s="46"/>
      <c r="D51" s="46"/>
      <c r="E51" s="47"/>
      <c r="F51" s="51" t="s">
        <v>50</v>
      </c>
      <c r="G51" s="46"/>
      <c r="H51" s="46"/>
      <c r="I51" s="46"/>
      <c r="J51" s="46"/>
      <c r="K51" s="46"/>
      <c r="L51" s="46"/>
      <c r="M51" s="47"/>
    </row>
    <row r="52" spans="1:16" ht="21.95" customHeight="1" x14ac:dyDescent="0.3">
      <c r="A52" s="48"/>
      <c r="B52" s="49"/>
      <c r="C52" s="49"/>
      <c r="D52" s="49"/>
      <c r="E52" s="50"/>
      <c r="F52" s="49"/>
      <c r="G52" s="49"/>
      <c r="H52" s="49"/>
      <c r="I52" s="49"/>
      <c r="J52" s="49"/>
      <c r="K52" s="49"/>
      <c r="L52" s="49"/>
      <c r="M52" s="50"/>
    </row>
    <row r="53" spans="1:16" ht="21.95" customHeight="1" thickBot="1" x14ac:dyDescent="0.35">
      <c r="A53" s="67" t="s">
        <v>7</v>
      </c>
      <c r="B53" s="68"/>
      <c r="C53" s="68"/>
      <c r="D53" s="68"/>
      <c r="E53" s="69"/>
      <c r="F53" s="68" t="s">
        <v>7</v>
      </c>
      <c r="G53" s="68"/>
      <c r="H53" s="68"/>
      <c r="I53" s="68"/>
      <c r="J53" s="70"/>
      <c r="K53" s="68"/>
      <c r="L53" s="68"/>
      <c r="M53" s="69"/>
    </row>
    <row r="54" spans="1:16" ht="21.95" customHeight="1" thickTop="1" x14ac:dyDescent="0.3">
      <c r="A54" s="71" t="s">
        <v>43</v>
      </c>
      <c r="B54" s="73" t="s">
        <v>4</v>
      </c>
      <c r="C54" s="73" t="s">
        <v>15</v>
      </c>
      <c r="D54" s="73" t="s">
        <v>3</v>
      </c>
      <c r="E54" s="75" t="s">
        <v>2</v>
      </c>
      <c r="F54" s="71" t="s">
        <v>43</v>
      </c>
      <c r="G54" s="77" t="s">
        <v>17</v>
      </c>
      <c r="H54" s="77" t="s">
        <v>29</v>
      </c>
      <c r="I54" s="79" t="s">
        <v>41</v>
      </c>
      <c r="J54" s="81" t="s">
        <v>42</v>
      </c>
      <c r="K54" s="83" t="s">
        <v>10</v>
      </c>
      <c r="L54" s="85" t="s">
        <v>18</v>
      </c>
      <c r="M54" s="87" t="s">
        <v>8</v>
      </c>
    </row>
    <row r="55" spans="1:16" ht="21.95" customHeight="1" x14ac:dyDescent="0.3">
      <c r="A55" s="72"/>
      <c r="B55" s="74"/>
      <c r="C55" s="74"/>
      <c r="D55" s="74"/>
      <c r="E55" s="76"/>
      <c r="F55" s="72"/>
      <c r="G55" s="78"/>
      <c r="H55" s="78"/>
      <c r="I55" s="80"/>
      <c r="J55" s="82"/>
      <c r="K55" s="84"/>
      <c r="L55" s="86"/>
      <c r="M55" s="88"/>
    </row>
    <row r="56" spans="1:16" ht="21.95" customHeight="1" x14ac:dyDescent="0.3">
      <c r="A56" s="95" t="s">
        <v>26</v>
      </c>
      <c r="B56" s="3"/>
      <c r="C56" s="3"/>
      <c r="D56" s="3"/>
      <c r="E56" s="11" t="s">
        <v>27</v>
      </c>
      <c r="F56" s="97" t="str">
        <f>A56</f>
        <v>Spurious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-36</v>
      </c>
      <c r="J56" s="105" t="str">
        <f>IF(OR(I56-H56&gt;10,I56-H56=-36),"No Peak Found",I56-H56)</f>
        <v>No Peak Found</v>
      </c>
      <c r="K56" s="89" t="s">
        <v>9</v>
      </c>
      <c r="L56" s="91" t="str">
        <f>IF(OR(COUNTIF(B56:D57, "-")+COUNTBLANK(B56:D57)=6), "Pass", IF(H56 &gt; I56, "Fail", IF(J56 &lt; 3, "Margin 부족", "Pass")))</f>
        <v>Pass</v>
      </c>
      <c r="M56" s="93" t="s">
        <v>12</v>
      </c>
    </row>
    <row r="57" spans="1:16" ht="21.95" customHeight="1" thickBot="1" x14ac:dyDescent="0.35">
      <c r="A57" s="96"/>
      <c r="B57" s="7"/>
      <c r="C57" s="7"/>
      <c r="D57" s="7"/>
      <c r="E57" s="12" t="s">
        <v>28</v>
      </c>
      <c r="F57" s="98"/>
      <c r="G57" s="100"/>
      <c r="H57" s="102"/>
      <c r="I57" s="104"/>
      <c r="J57" s="106"/>
      <c r="K57" s="90"/>
      <c r="L57" s="92"/>
      <c r="M57" s="94"/>
    </row>
    <row r="58" spans="1:16" ht="21.95" customHeight="1" thickBot="1" x14ac:dyDescent="0.35">
      <c r="A58" s="107" t="s">
        <v>57</v>
      </c>
      <c r="B58" s="108"/>
      <c r="C58" s="108"/>
      <c r="D58" s="108"/>
      <c r="E58" s="109"/>
      <c r="F58" s="108" t="s">
        <v>57</v>
      </c>
      <c r="G58" s="108"/>
      <c r="H58" s="108"/>
      <c r="I58" s="108"/>
      <c r="J58" s="70"/>
      <c r="K58" s="108"/>
      <c r="L58" s="108"/>
      <c r="M58" s="108"/>
    </row>
    <row r="59" spans="1:16" ht="21.95" customHeight="1" thickTop="1" x14ac:dyDescent="0.3">
      <c r="A59" s="71" t="s">
        <v>43</v>
      </c>
      <c r="B59" s="73" t="s">
        <v>14</v>
      </c>
      <c r="C59" s="73" t="s">
        <v>15</v>
      </c>
      <c r="D59" s="73" t="s">
        <v>16</v>
      </c>
      <c r="E59" s="75" t="s">
        <v>17</v>
      </c>
      <c r="F59" s="71" t="s">
        <v>43</v>
      </c>
      <c r="G59" s="77" t="s">
        <v>17</v>
      </c>
      <c r="H59" s="77" t="s">
        <v>29</v>
      </c>
      <c r="I59" s="79" t="s">
        <v>41</v>
      </c>
      <c r="J59" s="81" t="s">
        <v>42</v>
      </c>
      <c r="K59" s="83" t="s">
        <v>10</v>
      </c>
      <c r="L59" s="85" t="s">
        <v>18</v>
      </c>
      <c r="M59" s="87" t="s">
        <v>8</v>
      </c>
    </row>
    <row r="60" spans="1:16" ht="21.95" customHeight="1" x14ac:dyDescent="0.3">
      <c r="A60" s="72"/>
      <c r="B60" s="74"/>
      <c r="C60" s="74"/>
      <c r="D60" s="74"/>
      <c r="E60" s="76"/>
      <c r="F60" s="72"/>
      <c r="G60" s="78"/>
      <c r="H60" s="78"/>
      <c r="I60" s="80"/>
      <c r="J60" s="82"/>
      <c r="K60" s="84"/>
      <c r="L60" s="86"/>
      <c r="M60" s="88"/>
    </row>
    <row r="61" spans="1:16" ht="21.95" customHeight="1" x14ac:dyDescent="0.3">
      <c r="A61" s="110" t="s">
        <v>26</v>
      </c>
      <c r="B61" s="3"/>
      <c r="C61" s="3"/>
      <c r="D61" s="3"/>
      <c r="E61" s="11" t="s">
        <v>27</v>
      </c>
      <c r="F61" s="112" t="str">
        <f>$A$19</f>
        <v>Spurious</v>
      </c>
      <c r="G61" s="99" t="str">
        <f>IF(COUNT(B61:D61)=0, "H", IF(COUNT(B62:D62)=0, "V", IF(MAX(B61:D61) &gt;= MAX(B62:D62), "V", "H")))</f>
        <v>H</v>
      </c>
      <c r="H61" s="101">
        <f>MAX(B61:D62)</f>
        <v>0</v>
      </c>
      <c r="I61" s="103">
        <v>-30</v>
      </c>
      <c r="J61" s="105" t="str">
        <f>IF(OR(I61-H61&gt;10,I61-H61=-30),"No Peak Found",I61-H61)</f>
        <v>No Peak Found</v>
      </c>
      <c r="K61" s="89" t="s">
        <v>9</v>
      </c>
      <c r="L61" s="91" t="str">
        <f>IF(OR(COUNTIF(B61:D62, "-")+COUNTBLANK(B61:D62)=6), "Pass", IF(H61 &gt; I61, "Fail", IF(J61 &lt; 3, "Margin 부족", "Pass")))</f>
        <v>Pass</v>
      </c>
      <c r="M61" s="93" t="s">
        <v>12</v>
      </c>
    </row>
    <row r="62" spans="1:16" ht="21.95" customHeight="1" thickBot="1" x14ac:dyDescent="0.35">
      <c r="A62" s="111"/>
      <c r="B62" s="7"/>
      <c r="C62" s="7"/>
      <c r="D62" s="7"/>
      <c r="E62" s="12" t="s">
        <v>28</v>
      </c>
      <c r="F62" s="113"/>
      <c r="G62" s="114"/>
      <c r="H62" s="115"/>
      <c r="I62" s="116"/>
      <c r="J62" s="106"/>
      <c r="K62" s="117"/>
      <c r="L62" s="118"/>
      <c r="M62" s="119"/>
    </row>
    <row r="63" spans="1:16" ht="21.95" customHeight="1" thickBot="1" x14ac:dyDescent="0.35">
      <c r="A63" s="120" t="s">
        <v>58</v>
      </c>
      <c r="B63" s="121"/>
      <c r="C63" s="121"/>
      <c r="D63" s="121"/>
      <c r="E63" s="121"/>
      <c r="F63" s="122" t="s">
        <v>58</v>
      </c>
      <c r="G63" s="123"/>
      <c r="H63" s="123"/>
      <c r="I63" s="123"/>
      <c r="J63" s="70"/>
      <c r="K63" s="123"/>
      <c r="L63" s="124"/>
      <c r="M63" s="125"/>
      <c r="N63" s="8" t="s">
        <v>8</v>
      </c>
    </row>
    <row r="64" spans="1:16" ht="21.95" customHeight="1" thickTop="1" x14ac:dyDescent="0.3">
      <c r="A64" s="71" t="s">
        <v>43</v>
      </c>
      <c r="B64" s="73" t="s">
        <v>14</v>
      </c>
      <c r="C64" s="73" t="s">
        <v>15</v>
      </c>
      <c r="D64" s="73" t="s">
        <v>16</v>
      </c>
      <c r="E64" s="75" t="s">
        <v>17</v>
      </c>
      <c r="F64" s="202" t="s">
        <v>43</v>
      </c>
      <c r="G64" s="132" t="s">
        <v>17</v>
      </c>
      <c r="H64" s="132" t="s">
        <v>29</v>
      </c>
      <c r="I64" s="133" t="s">
        <v>41</v>
      </c>
      <c r="J64" s="81" t="s">
        <v>42</v>
      </c>
      <c r="K64" s="134" t="s">
        <v>10</v>
      </c>
      <c r="L64" s="136" t="s">
        <v>18</v>
      </c>
      <c r="M64" s="138" t="s">
        <v>8</v>
      </c>
      <c r="N64" s="163" t="str">
        <f>"1. Sub6 NR Band : " &amp; VALUE(RIGHT(A7, LEN(A7)-1))</f>
        <v>1. Sub6 NR Band : 77</v>
      </c>
      <c r="O64" s="164"/>
      <c r="P64" s="164"/>
    </row>
    <row r="65" spans="1:16" ht="21.95" customHeight="1" x14ac:dyDescent="0.3">
      <c r="A65" s="72"/>
      <c r="B65" s="129"/>
      <c r="C65" s="129"/>
      <c r="D65" s="129"/>
      <c r="E65" s="76"/>
      <c r="F65" s="84"/>
      <c r="G65" s="78"/>
      <c r="H65" s="78"/>
      <c r="I65" s="80"/>
      <c r="J65" s="82"/>
      <c r="K65" s="135"/>
      <c r="L65" s="137"/>
      <c r="M65" s="139"/>
      <c r="N65" s="152" t="str">
        <f>"2. SCS : " &amp; H7 &amp; " kHz"</f>
        <v>2. SCS : 30 kHz</v>
      </c>
      <c r="O65" s="153"/>
      <c r="P65" s="153"/>
    </row>
    <row r="66" spans="1:16" ht="21.95" customHeight="1" x14ac:dyDescent="0.3">
      <c r="A66" s="199">
        <f>J7*2</f>
        <v>0</v>
      </c>
      <c r="B66" s="4"/>
      <c r="C66" s="4"/>
      <c r="D66" s="4"/>
      <c r="E66" s="16" t="s">
        <v>1</v>
      </c>
      <c r="F66" s="201">
        <f>$A$24</f>
        <v>0</v>
      </c>
      <c r="G66" s="99" t="str">
        <f>IF(COUNT(B66:D66)=0, "H", IF(COUNT(B67:D67)=0, "V", IF(MAX(B66:D66) &gt;= MAX(B67:D67), "V", "H")))</f>
        <v>H</v>
      </c>
      <c r="H66" s="101">
        <f>MAX(B66:D67)</f>
        <v>0</v>
      </c>
      <c r="I66" s="103">
        <v>-30</v>
      </c>
      <c r="J66" s="143" t="str">
        <f>IF(OR(I66-H66&gt;10,I66-H66=-30),"No Peak Found",I66-H66)</f>
        <v>No Peak Found</v>
      </c>
      <c r="K66" s="144" t="s">
        <v>9</v>
      </c>
      <c r="L66" s="117" t="str">
        <f>IF(OR(COUNTIF(B66:D67, "-")+COUNTBLANK(B66:D67)=6), "Pass", IF(H66 &gt; I66, "Fail", IF(J66 &lt; 3, "Margin 부족", "Pass")))</f>
        <v>Pass</v>
      </c>
      <c r="M66" s="146" t="s">
        <v>11</v>
      </c>
      <c r="N66" s="152" t="str">
        <f>"3. The test was performed the " &amp; I7 &amp; " antenna."</f>
        <v>3. The test was performed the  antenna.</v>
      </c>
      <c r="O66" s="153"/>
      <c r="P66" s="153"/>
    </row>
    <row r="67" spans="1:16" ht="21.95" customHeight="1" x14ac:dyDescent="0.3">
      <c r="A67" s="200"/>
      <c r="B67" s="4"/>
      <c r="C67" s="4"/>
      <c r="D67" s="4"/>
      <c r="E67" s="16" t="s">
        <v>0</v>
      </c>
      <c r="F67" s="201"/>
      <c r="G67" s="99"/>
      <c r="H67" s="101"/>
      <c r="I67" s="103"/>
      <c r="J67" s="143"/>
      <c r="K67" s="144"/>
      <c r="L67" s="145"/>
      <c r="M67" s="147"/>
      <c r="N67" s="152" t="str">
        <f>"4. " &amp; LEFT(A51, FIND(" ", A51 &amp; " ") - 1) &amp; " Mode Test."</f>
        <v>4. SA Mode Test.</v>
      </c>
      <c r="O67" s="154"/>
      <c r="P67" s="154"/>
    </row>
    <row r="68" spans="1:16" ht="21.95" customHeight="1" x14ac:dyDescent="0.3">
      <c r="A68" s="199">
        <f>J7*3</f>
        <v>0</v>
      </c>
      <c r="B68" s="4"/>
      <c r="C68" s="4"/>
      <c r="D68" s="4"/>
      <c r="E68" s="16" t="s">
        <v>1</v>
      </c>
      <c r="F68" s="203">
        <f>$A$26</f>
        <v>0</v>
      </c>
      <c r="G68" s="99" t="str">
        <f>IF(COUNT(B68:D68)=0, "H", IF(COUNT(B69:D69)=0, "V", IF(MAX(B68:D68) &gt;= MAX(B69:D69), "V", "H")))</f>
        <v>H</v>
      </c>
      <c r="H68" s="101">
        <f>MAX(B68:D69)</f>
        <v>0</v>
      </c>
      <c r="I68" s="149">
        <v>-30</v>
      </c>
      <c r="J68" s="143" t="str">
        <f t="shared" ref="J68" si="3">IF(OR(I68-H68&gt;10,I68-H68=-30),"No Peak Found",I68-H68)</f>
        <v>No Peak Found</v>
      </c>
      <c r="K68" s="150" t="s">
        <v>9</v>
      </c>
      <c r="L68" s="117" t="str">
        <f>IF(OR(COUNTIF(B68:D69, "-")+COUNTBLANK(B68:D69)=6), "Pass", IF(H68 &gt; I68, "Fail", IF(J68 &lt; 3, "Margin 부족", "Pass")))</f>
        <v>Pass</v>
      </c>
      <c r="M68" s="146" t="s">
        <v>11</v>
      </c>
    </row>
    <row r="69" spans="1:16" ht="21.95" customHeight="1" x14ac:dyDescent="0.3">
      <c r="A69" s="200"/>
      <c r="B69" s="4"/>
      <c r="C69" s="4"/>
      <c r="D69" s="4"/>
      <c r="E69" s="16" t="s">
        <v>0</v>
      </c>
      <c r="F69" s="203"/>
      <c r="G69" s="99"/>
      <c r="H69" s="101"/>
      <c r="I69" s="149"/>
      <c r="J69" s="143"/>
      <c r="K69" s="150"/>
      <c r="L69" s="145"/>
      <c r="M69" s="147"/>
    </row>
    <row r="70" spans="1:16" ht="21.95" customHeight="1" x14ac:dyDescent="0.3">
      <c r="A70" s="199">
        <f>J7*4</f>
        <v>0</v>
      </c>
      <c r="B70" s="4"/>
      <c r="C70" s="4"/>
      <c r="D70" s="4"/>
      <c r="E70" s="16" t="s">
        <v>1</v>
      </c>
      <c r="F70" s="201">
        <f>$A$28</f>
        <v>0</v>
      </c>
      <c r="G70" s="99" t="str">
        <f>IF(COUNT(B70:D70)=0, "H", IF(COUNT(B71:D71)=0, "V", IF(MAX(B70:D70) &gt;= MAX(B71:D71), "V", "H")))</f>
        <v>H</v>
      </c>
      <c r="H70" s="101">
        <f>MAX(B70:D71)</f>
        <v>0</v>
      </c>
      <c r="I70" s="149">
        <v>-30</v>
      </c>
      <c r="J70" s="143" t="str">
        <f t="shared" ref="J70" si="4">IF(OR(I70-H70&gt;10,I70-H70=-30),"No Peak Found",I70-H70)</f>
        <v>No Peak Found</v>
      </c>
      <c r="K70" s="171" t="s">
        <v>9</v>
      </c>
      <c r="L70" s="117" t="str">
        <f>IF(OR(COUNTIF(B70:D71, "-")+COUNTBLANK(B70:D71)=6), "Pass", IF(H70 &gt; I70, "Fail", IF(J70 &lt; 3, "Margin 부족", "Pass")))</f>
        <v>Pass</v>
      </c>
      <c r="M70" s="146" t="s">
        <v>11</v>
      </c>
    </row>
    <row r="71" spans="1:16" ht="21.95" customHeight="1" x14ac:dyDescent="0.3">
      <c r="A71" s="200"/>
      <c r="B71" s="4"/>
      <c r="C71" s="4"/>
      <c r="D71" s="4"/>
      <c r="E71" s="16" t="s">
        <v>0</v>
      </c>
      <c r="F71" s="201"/>
      <c r="G71" s="99"/>
      <c r="H71" s="101"/>
      <c r="I71" s="149"/>
      <c r="J71" s="143"/>
      <c r="K71" s="171"/>
      <c r="L71" s="145"/>
      <c r="M71" s="147"/>
    </row>
    <row r="72" spans="1:16" ht="21.95" customHeight="1" x14ac:dyDescent="0.3">
      <c r="A72" s="199">
        <f>J7*5</f>
        <v>0</v>
      </c>
      <c r="B72" s="4"/>
      <c r="C72" s="4"/>
      <c r="D72" s="4"/>
      <c r="E72" s="16" t="s">
        <v>1</v>
      </c>
      <c r="F72" s="203">
        <f>$A$30</f>
        <v>0</v>
      </c>
      <c r="G72" s="99" t="str">
        <f>IF(COUNT(B72:D72)=0, "H", IF(COUNT(B73:D73)=0, "V", IF(MAX(B72:D72) &gt;= MAX(B73:D73), "V", "H")))</f>
        <v>H</v>
      </c>
      <c r="H72" s="101">
        <f>MAX(B72:D73)</f>
        <v>0</v>
      </c>
      <c r="I72" s="149">
        <v>-30</v>
      </c>
      <c r="J72" s="143" t="str">
        <f t="shared" ref="J72" si="5">IF(OR(I72-H72&gt;10,I72-H72=-30),"No Peak Found",I72-H72)</f>
        <v>No Peak Found</v>
      </c>
      <c r="K72" s="171" t="s">
        <v>9</v>
      </c>
      <c r="L72" s="117" t="str">
        <f>IF(OR(COUNTIF(B72:D73, "-")+COUNTBLANK(B72:D73)=6), "Pass", IF(H72 &gt; I72, "Fail", IF(J72 &lt; 3, "Margin 부족", "Pass")))</f>
        <v>Pass</v>
      </c>
      <c r="M72" s="146" t="s">
        <v>11</v>
      </c>
    </row>
    <row r="73" spans="1:16" ht="21.95" customHeight="1" thickBot="1" x14ac:dyDescent="0.35">
      <c r="A73" s="204"/>
      <c r="B73" s="17"/>
      <c r="C73" s="17"/>
      <c r="D73" s="17"/>
      <c r="E73" s="18" t="s">
        <v>28</v>
      </c>
      <c r="F73" s="205"/>
      <c r="G73" s="167"/>
      <c r="H73" s="168"/>
      <c r="I73" s="169"/>
      <c r="J73" s="170"/>
      <c r="K73" s="172"/>
      <c r="L73" s="173"/>
      <c r="M73" s="151"/>
    </row>
    <row r="74" spans="1:16" ht="21.95" customHeight="1" x14ac:dyDescent="0.3">
      <c r="A74" s="155" t="s">
        <v>45</v>
      </c>
      <c r="B74" s="156"/>
      <c r="C74" s="156"/>
      <c r="D74" s="156"/>
      <c r="E74" s="157"/>
      <c r="F74" s="159" t="s">
        <v>51</v>
      </c>
      <c r="G74" s="159"/>
      <c r="H74" s="159"/>
      <c r="I74" s="159"/>
      <c r="J74" s="159"/>
      <c r="K74" s="159"/>
      <c r="L74" s="159"/>
      <c r="M74" s="160"/>
    </row>
    <row r="75" spans="1:16" ht="21.95" customHeight="1" x14ac:dyDescent="0.3">
      <c r="A75" s="158"/>
      <c r="B75" s="156"/>
      <c r="C75" s="156"/>
      <c r="D75" s="156"/>
      <c r="E75" s="157"/>
      <c r="F75" s="161"/>
      <c r="G75" s="161"/>
      <c r="H75" s="161"/>
      <c r="I75" s="161"/>
      <c r="J75" s="161"/>
      <c r="K75" s="161"/>
      <c r="L75" s="161"/>
      <c r="M75" s="162"/>
    </row>
    <row r="76" spans="1:16" ht="21.95" customHeight="1" thickBot="1" x14ac:dyDescent="0.35">
      <c r="A76" s="174" t="s">
        <v>6</v>
      </c>
      <c r="B76" s="175"/>
      <c r="C76" s="175"/>
      <c r="D76" s="175"/>
      <c r="E76" s="176"/>
      <c r="F76" s="177" t="s">
        <v>6</v>
      </c>
      <c r="G76" s="177"/>
      <c r="H76" s="177"/>
      <c r="I76" s="177"/>
      <c r="J76" s="177"/>
      <c r="K76" s="177"/>
      <c r="L76" s="177"/>
      <c r="M76" s="177"/>
    </row>
    <row r="77" spans="1:16" ht="21.95" customHeight="1" thickTop="1" x14ac:dyDescent="0.3">
      <c r="A77" s="71" t="s">
        <v>43</v>
      </c>
      <c r="B77" s="73" t="s">
        <v>14</v>
      </c>
      <c r="C77" s="73" t="s">
        <v>15</v>
      </c>
      <c r="D77" s="73" t="s">
        <v>16</v>
      </c>
      <c r="E77" s="75" t="s">
        <v>17</v>
      </c>
      <c r="F77" s="71" t="s">
        <v>43</v>
      </c>
      <c r="G77" s="77" t="s">
        <v>17</v>
      </c>
      <c r="H77" s="77" t="s">
        <v>29</v>
      </c>
      <c r="I77" s="79" t="s">
        <v>41</v>
      </c>
      <c r="J77" s="81" t="s">
        <v>42</v>
      </c>
      <c r="K77" s="187" t="s">
        <v>10</v>
      </c>
      <c r="L77" s="85" t="s">
        <v>18</v>
      </c>
      <c r="M77" s="87" t="s">
        <v>8</v>
      </c>
    </row>
    <row r="78" spans="1:16" ht="21.95" customHeight="1" x14ac:dyDescent="0.3">
      <c r="A78" s="72"/>
      <c r="B78" s="74"/>
      <c r="C78" s="74"/>
      <c r="D78" s="74"/>
      <c r="E78" s="76"/>
      <c r="F78" s="72"/>
      <c r="G78" s="78"/>
      <c r="H78" s="78"/>
      <c r="I78" s="80"/>
      <c r="J78" s="82"/>
      <c r="K78" s="188"/>
      <c r="L78" s="86"/>
      <c r="M78" s="88"/>
    </row>
    <row r="79" spans="1:16" ht="21.95" customHeight="1" x14ac:dyDescent="0.3">
      <c r="A79" s="189" t="s">
        <v>26</v>
      </c>
      <c r="B79" s="3"/>
      <c r="C79" s="3"/>
      <c r="D79" s="3"/>
      <c r="E79" s="11" t="s">
        <v>27</v>
      </c>
      <c r="F79" s="191" t="str">
        <f>A79</f>
        <v>Spurious</v>
      </c>
      <c r="G79" s="193" t="str">
        <f>IF(COUNT(B79:D79)=0, "H", IF(COUNT(B80:D80)=0, "V", IF(MAX(B79:D79) &gt;= MAX(B80:D80), "V", "H")))</f>
        <v>H</v>
      </c>
      <c r="H79" s="195">
        <f>MAX(B79:D80)</f>
        <v>0</v>
      </c>
      <c r="I79" s="197">
        <v>-57</v>
      </c>
      <c r="J79" s="178" t="str">
        <f>IF(OR(I79-H79&gt;10,I79-H79=-57),"No Peak Found",I79-H79)</f>
        <v>No Peak Found</v>
      </c>
      <c r="K79" s="180" t="s">
        <v>9</v>
      </c>
      <c r="L79" s="91" t="str">
        <f>IF(OR(COUNTIF(B79:D80, "-")+COUNTBLANK(B79:D80)=6), "Pass", IF(H79 &gt; I79, "Fail", IF(J79 &lt; 3, "Margin 부족", "Pass")))</f>
        <v>Pass</v>
      </c>
      <c r="M79" s="182" t="s">
        <v>12</v>
      </c>
    </row>
    <row r="80" spans="1:16" ht="21.95" customHeight="1" thickBot="1" x14ac:dyDescent="0.35">
      <c r="A80" s="190"/>
      <c r="B80" s="7"/>
      <c r="C80" s="7"/>
      <c r="D80" s="7"/>
      <c r="E80" s="12" t="s">
        <v>28</v>
      </c>
      <c r="F80" s="192"/>
      <c r="G80" s="194"/>
      <c r="H80" s="196"/>
      <c r="I80" s="198"/>
      <c r="J80" s="179"/>
      <c r="K80" s="181"/>
      <c r="L80" s="92"/>
      <c r="M80" s="183"/>
    </row>
    <row r="81" spans="1:13" ht="21.95" customHeight="1" thickBot="1" x14ac:dyDescent="0.35">
      <c r="A81" s="184" t="s">
        <v>5</v>
      </c>
      <c r="B81" s="185"/>
      <c r="C81" s="185"/>
      <c r="D81" s="185"/>
      <c r="E81" s="186"/>
      <c r="F81" s="70" t="s">
        <v>5</v>
      </c>
      <c r="G81" s="70"/>
      <c r="H81" s="70"/>
      <c r="I81" s="70"/>
      <c r="J81" s="70"/>
      <c r="K81" s="70"/>
      <c r="L81" s="70"/>
      <c r="M81" s="70"/>
    </row>
    <row r="82" spans="1:13" ht="21.95" customHeight="1" thickTop="1" x14ac:dyDescent="0.3">
      <c r="A82" s="71" t="s">
        <v>43</v>
      </c>
      <c r="B82" s="73" t="s">
        <v>14</v>
      </c>
      <c r="C82" s="73" t="s">
        <v>15</v>
      </c>
      <c r="D82" s="73" t="s">
        <v>16</v>
      </c>
      <c r="E82" s="75" t="s">
        <v>17</v>
      </c>
      <c r="F82" s="71" t="s">
        <v>43</v>
      </c>
      <c r="G82" s="77" t="s">
        <v>17</v>
      </c>
      <c r="H82" s="77" t="s">
        <v>29</v>
      </c>
      <c r="I82" s="79" t="s">
        <v>41</v>
      </c>
      <c r="J82" s="81" t="s">
        <v>42</v>
      </c>
      <c r="K82" s="187" t="s">
        <v>10</v>
      </c>
      <c r="L82" s="85" t="s">
        <v>18</v>
      </c>
      <c r="M82" s="87" t="s">
        <v>8</v>
      </c>
    </row>
    <row r="83" spans="1:13" ht="21.95" customHeight="1" x14ac:dyDescent="0.3">
      <c r="A83" s="72"/>
      <c r="B83" s="74"/>
      <c r="C83" s="74"/>
      <c r="D83" s="74"/>
      <c r="E83" s="76"/>
      <c r="F83" s="72"/>
      <c r="G83" s="78"/>
      <c r="H83" s="78"/>
      <c r="I83" s="80"/>
      <c r="J83" s="82"/>
      <c r="K83" s="188"/>
      <c r="L83" s="86"/>
      <c r="M83" s="88"/>
    </row>
    <row r="84" spans="1:13" ht="21.95" customHeight="1" x14ac:dyDescent="0.3">
      <c r="A84" s="189" t="s">
        <v>26</v>
      </c>
      <c r="B84" s="3"/>
      <c r="C84" s="3"/>
      <c r="D84" s="3"/>
      <c r="E84" s="11" t="s">
        <v>27</v>
      </c>
      <c r="F84" s="191" t="str">
        <f>A84</f>
        <v>Spurious</v>
      </c>
      <c r="G84" s="193" t="str">
        <f>IF(COUNT(B84:D84)=0, "H", IF(COUNT(B85:D85)=0, "V", IF(MAX(B84:D84) &gt;= MAX(B85:D85), "V", "H")))</f>
        <v>H</v>
      </c>
      <c r="H84" s="195">
        <f>MAX(B84:D85)</f>
        <v>0</v>
      </c>
      <c r="I84" s="197">
        <v>-47</v>
      </c>
      <c r="J84" s="178" t="str">
        <f>IF(OR(I84-H84&gt;10,I84-H84=-47),"No Peak Found",I84-H84)</f>
        <v>No Peak Found</v>
      </c>
      <c r="K84" s="180" t="s">
        <v>9</v>
      </c>
      <c r="L84" s="91" t="str">
        <f>IF(OR(COUNTIF(B84:D85, "-")+COUNTBLANK(B84:D85)=6), "Pass", IF(H84 &gt; I84, "Fail", IF(J84 &lt; 3, "Margin 부족", "Pass")))</f>
        <v>Pass</v>
      </c>
      <c r="M84" s="182" t="s">
        <v>12</v>
      </c>
    </row>
    <row r="85" spans="1:13" ht="21.95" customHeight="1" thickBot="1" x14ac:dyDescent="0.35">
      <c r="A85" s="190"/>
      <c r="B85" s="7"/>
      <c r="C85" s="7"/>
      <c r="D85" s="7"/>
      <c r="E85" s="12" t="s">
        <v>28</v>
      </c>
      <c r="F85" s="192"/>
      <c r="G85" s="194"/>
      <c r="H85" s="196"/>
      <c r="I85" s="198"/>
      <c r="J85" s="179"/>
      <c r="K85" s="181"/>
      <c r="L85" s="92"/>
      <c r="M85" s="183"/>
    </row>
  </sheetData>
  <mergeCells count="357">
    <mergeCell ref="J49:M50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45:M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J47:M48"/>
    <mergeCell ref="B1:D1"/>
    <mergeCell ref="E1:F2"/>
    <mergeCell ref="G1:M1"/>
    <mergeCell ref="B2:D2"/>
    <mergeCell ref="G2:M2"/>
    <mergeCell ref="A3:M4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A21:E21"/>
    <mergeCell ref="F21:M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A24:A25"/>
    <mergeCell ref="F24:F25"/>
    <mergeCell ref="G24:G25"/>
    <mergeCell ref="H24:H25"/>
    <mergeCell ref="I24:I25"/>
    <mergeCell ref="J24:J25"/>
    <mergeCell ref="K24:K25"/>
    <mergeCell ref="L24:L25"/>
    <mergeCell ref="M24:M25"/>
    <mergeCell ref="A26:A27"/>
    <mergeCell ref="F26:F27"/>
    <mergeCell ref="G26:G27"/>
    <mergeCell ref="H26:H27"/>
    <mergeCell ref="I26:I27"/>
    <mergeCell ref="J26:J27"/>
    <mergeCell ref="K26:K27"/>
    <mergeCell ref="L26:L27"/>
    <mergeCell ref="M26:M27"/>
    <mergeCell ref="M30:M31"/>
    <mergeCell ref="N30:P30"/>
    <mergeCell ref="N31:P31"/>
    <mergeCell ref="A32:E33"/>
    <mergeCell ref="F32:M33"/>
    <mergeCell ref="L28:L29"/>
    <mergeCell ref="M28:M29"/>
    <mergeCell ref="N28:P28"/>
    <mergeCell ref="N29:P29"/>
    <mergeCell ref="A30:A31"/>
    <mergeCell ref="F30:F31"/>
    <mergeCell ref="G30:G31"/>
    <mergeCell ref="H30:H31"/>
    <mergeCell ref="I30:I31"/>
    <mergeCell ref="J30:J31"/>
    <mergeCell ref="A28:A29"/>
    <mergeCell ref="F28:F29"/>
    <mergeCell ref="G28:G29"/>
    <mergeCell ref="H28:H29"/>
    <mergeCell ref="I28:I29"/>
    <mergeCell ref="J28:J29"/>
    <mergeCell ref="K28:K29"/>
    <mergeCell ref="K30:K31"/>
    <mergeCell ref="L30:L31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J37:J38"/>
    <mergeCell ref="K37:K38"/>
    <mergeCell ref="L37:L38"/>
    <mergeCell ref="M37:M38"/>
    <mergeCell ref="A39:E39"/>
    <mergeCell ref="F39:M39"/>
    <mergeCell ref="I35:I36"/>
    <mergeCell ref="J35:J36"/>
    <mergeCell ref="K35:K36"/>
    <mergeCell ref="L35:L36"/>
    <mergeCell ref="M35:M36"/>
    <mergeCell ref="A37:A38"/>
    <mergeCell ref="F37:F38"/>
    <mergeCell ref="G37:G38"/>
    <mergeCell ref="H37:H38"/>
    <mergeCell ref="I37:I38"/>
    <mergeCell ref="M40:M41"/>
    <mergeCell ref="A42:A43"/>
    <mergeCell ref="F42:F43"/>
    <mergeCell ref="G42:G43"/>
    <mergeCell ref="H42:H43"/>
    <mergeCell ref="I42:I43"/>
    <mergeCell ref="J42:J43"/>
    <mergeCell ref="K42:K43"/>
    <mergeCell ref="L42:L43"/>
    <mergeCell ref="M42:M43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A51:E52"/>
    <mergeCell ref="F51:M52"/>
    <mergeCell ref="A53:E53"/>
    <mergeCell ref="F53:M53"/>
    <mergeCell ref="A54:A55"/>
    <mergeCell ref="B54:B55"/>
    <mergeCell ref="C54:C55"/>
    <mergeCell ref="D54:D55"/>
    <mergeCell ref="E54:E55"/>
    <mergeCell ref="F54:F55"/>
    <mergeCell ref="M54:M55"/>
    <mergeCell ref="G54:G55"/>
    <mergeCell ref="H54:H55"/>
    <mergeCell ref="I54:I55"/>
    <mergeCell ref="J54:J55"/>
    <mergeCell ref="K54:K55"/>
    <mergeCell ref="L54:L55"/>
    <mergeCell ref="A56:A57"/>
    <mergeCell ref="F56:F57"/>
    <mergeCell ref="G56:G57"/>
    <mergeCell ref="H56:H57"/>
    <mergeCell ref="I56:I57"/>
    <mergeCell ref="J56:J57"/>
    <mergeCell ref="K56:K57"/>
    <mergeCell ref="L56:L57"/>
    <mergeCell ref="M56:M57"/>
    <mergeCell ref="A58:E58"/>
    <mergeCell ref="F58:M58"/>
    <mergeCell ref="A59:A60"/>
    <mergeCell ref="B59:B60"/>
    <mergeCell ref="C59:C60"/>
    <mergeCell ref="D59:D60"/>
    <mergeCell ref="E59:E60"/>
    <mergeCell ref="F59:F60"/>
    <mergeCell ref="G59:G60"/>
    <mergeCell ref="H59:H60"/>
    <mergeCell ref="J61:J62"/>
    <mergeCell ref="K61:K62"/>
    <mergeCell ref="L61:L62"/>
    <mergeCell ref="M61:M62"/>
    <mergeCell ref="A63:E63"/>
    <mergeCell ref="F63:M63"/>
    <mergeCell ref="I59:I60"/>
    <mergeCell ref="J59:J60"/>
    <mergeCell ref="K59:K60"/>
    <mergeCell ref="L59:L60"/>
    <mergeCell ref="M59:M60"/>
    <mergeCell ref="A61:A62"/>
    <mergeCell ref="F61:F62"/>
    <mergeCell ref="G61:G62"/>
    <mergeCell ref="H61:H62"/>
    <mergeCell ref="I61:I62"/>
    <mergeCell ref="M64:M65"/>
    <mergeCell ref="A66:A67"/>
    <mergeCell ref="F66:F67"/>
    <mergeCell ref="G66:G67"/>
    <mergeCell ref="H66:H67"/>
    <mergeCell ref="I66:I67"/>
    <mergeCell ref="J66:J67"/>
    <mergeCell ref="K66:K67"/>
    <mergeCell ref="L66:L67"/>
    <mergeCell ref="M66:M67"/>
    <mergeCell ref="G64:G65"/>
    <mergeCell ref="H64:H65"/>
    <mergeCell ref="I64:I65"/>
    <mergeCell ref="J64:J65"/>
    <mergeCell ref="K64:K65"/>
    <mergeCell ref="L64:L65"/>
    <mergeCell ref="A64:A65"/>
    <mergeCell ref="B64:B65"/>
    <mergeCell ref="C64:C65"/>
    <mergeCell ref="D64:D65"/>
    <mergeCell ref="E64:E65"/>
    <mergeCell ref="F64:F65"/>
    <mergeCell ref="K68:K69"/>
    <mergeCell ref="L68:L69"/>
    <mergeCell ref="M68:M69"/>
    <mergeCell ref="A70:A71"/>
    <mergeCell ref="F70:F71"/>
    <mergeCell ref="G70:G71"/>
    <mergeCell ref="H70:H71"/>
    <mergeCell ref="I70:I71"/>
    <mergeCell ref="J70:J71"/>
    <mergeCell ref="K70:K71"/>
    <mergeCell ref="A68:A69"/>
    <mergeCell ref="F68:F69"/>
    <mergeCell ref="G68:G69"/>
    <mergeCell ref="H68:H69"/>
    <mergeCell ref="I68:I69"/>
    <mergeCell ref="J68:J69"/>
    <mergeCell ref="K72:K73"/>
    <mergeCell ref="L72:L73"/>
    <mergeCell ref="M72:M73"/>
    <mergeCell ref="N66:P66"/>
    <mergeCell ref="N67:P67"/>
    <mergeCell ref="A74:E75"/>
    <mergeCell ref="F74:M75"/>
    <mergeCell ref="L70:L71"/>
    <mergeCell ref="M70:M71"/>
    <mergeCell ref="N64:P64"/>
    <mergeCell ref="N65:P65"/>
    <mergeCell ref="A72:A73"/>
    <mergeCell ref="F72:F73"/>
    <mergeCell ref="G72:G73"/>
    <mergeCell ref="H72:H73"/>
    <mergeCell ref="I72:I73"/>
    <mergeCell ref="J72:J73"/>
    <mergeCell ref="A76:E76"/>
    <mergeCell ref="F76:M76"/>
    <mergeCell ref="A77:A78"/>
    <mergeCell ref="B77:B78"/>
    <mergeCell ref="C77:C78"/>
    <mergeCell ref="D77:D78"/>
    <mergeCell ref="E77:E78"/>
    <mergeCell ref="F77:F78"/>
    <mergeCell ref="G77:G78"/>
    <mergeCell ref="H77:H78"/>
    <mergeCell ref="J79:J80"/>
    <mergeCell ref="K79:K80"/>
    <mergeCell ref="L79:L80"/>
    <mergeCell ref="M79:M80"/>
    <mergeCell ref="A81:E81"/>
    <mergeCell ref="F81:M81"/>
    <mergeCell ref="I77:I78"/>
    <mergeCell ref="J77:J78"/>
    <mergeCell ref="K77:K78"/>
    <mergeCell ref="L77:L78"/>
    <mergeCell ref="M77:M78"/>
    <mergeCell ref="A79:A80"/>
    <mergeCell ref="F79:F80"/>
    <mergeCell ref="G79:G80"/>
    <mergeCell ref="H79:H80"/>
    <mergeCell ref="I79:I80"/>
    <mergeCell ref="M82:M83"/>
    <mergeCell ref="A84:A85"/>
    <mergeCell ref="F84:F85"/>
    <mergeCell ref="G84:G85"/>
    <mergeCell ref="H84:H85"/>
    <mergeCell ref="I84:I85"/>
    <mergeCell ref="J84:J85"/>
    <mergeCell ref="K84:K85"/>
    <mergeCell ref="L84:L85"/>
    <mergeCell ref="M84:M85"/>
    <mergeCell ref="G82:G83"/>
    <mergeCell ref="H82:H83"/>
    <mergeCell ref="I82:I83"/>
    <mergeCell ref="J82:J83"/>
    <mergeCell ref="K82:K83"/>
    <mergeCell ref="L82:L83"/>
    <mergeCell ref="A82:A83"/>
    <mergeCell ref="B82:B83"/>
    <mergeCell ref="C82:C83"/>
    <mergeCell ref="D82:D83"/>
    <mergeCell ref="E82:E83"/>
    <mergeCell ref="F82:F83"/>
  </mergeCells>
  <phoneticPr fontId="1" type="noConversion"/>
  <conditionalFormatting sqref="J14 J19">
    <cfRule type="cellIs" dxfId="591" priority="51" operator="lessThan">
      <formula>10</formula>
    </cfRule>
  </conditionalFormatting>
  <conditionalFormatting sqref="J14">
    <cfRule type="cellIs" dxfId="590" priority="50" operator="equal">
      <formula>-36</formula>
    </cfRule>
  </conditionalFormatting>
  <conditionalFormatting sqref="L14 L19">
    <cfRule type="cellIs" dxfId="589" priority="49" operator="equal">
      <formula>"Fail"</formula>
    </cfRule>
  </conditionalFormatting>
  <conditionalFormatting sqref="J24">
    <cfRule type="cellIs" dxfId="588" priority="47" operator="equal">
      <formula>-30</formula>
    </cfRule>
    <cfRule type="cellIs" dxfId="587" priority="48" operator="lessThan">
      <formula>10</formula>
    </cfRule>
  </conditionalFormatting>
  <conditionalFormatting sqref="L24">
    <cfRule type="cellIs" dxfId="586" priority="46" operator="equal">
      <formula>"Fail"</formula>
    </cfRule>
  </conditionalFormatting>
  <conditionalFormatting sqref="L26">
    <cfRule type="cellIs" dxfId="585" priority="45" operator="equal">
      <formula>"Fail"</formula>
    </cfRule>
  </conditionalFormatting>
  <conditionalFormatting sqref="L28">
    <cfRule type="cellIs" dxfId="584" priority="44" operator="equal">
      <formula>"Fail"</formula>
    </cfRule>
  </conditionalFormatting>
  <conditionalFormatting sqref="L30">
    <cfRule type="cellIs" dxfId="583" priority="43" operator="equal">
      <formula>"Fail"</formula>
    </cfRule>
  </conditionalFormatting>
  <conditionalFormatting sqref="V33">
    <cfRule type="cellIs" dxfId="582" priority="42" operator="equal">
      <formula>"Fail"</formula>
    </cfRule>
  </conditionalFormatting>
  <conditionalFormatting sqref="L14:L15 L19:L20 L24:L31">
    <cfRule type="cellIs" dxfId="581" priority="41" operator="equal">
      <formula>"Pass"</formula>
    </cfRule>
  </conditionalFormatting>
  <conditionalFormatting sqref="L37">
    <cfRule type="cellIs" dxfId="580" priority="40" operator="equal">
      <formula>"Fail"</formula>
    </cfRule>
  </conditionalFormatting>
  <conditionalFormatting sqref="L37:L38">
    <cfRule type="cellIs" dxfId="579" priority="39" operator="equal">
      <formula>"Pass"</formula>
    </cfRule>
  </conditionalFormatting>
  <conditionalFormatting sqref="L42">
    <cfRule type="cellIs" dxfId="578" priority="38" operator="equal">
      <formula>"Fail"</formula>
    </cfRule>
  </conditionalFormatting>
  <conditionalFormatting sqref="L42:L43">
    <cfRule type="cellIs" dxfId="577" priority="37" operator="equal">
      <formula>"Pass"</formula>
    </cfRule>
  </conditionalFormatting>
  <conditionalFormatting sqref="B14:D15">
    <cfRule type="top10" dxfId="576" priority="36" rank="1"/>
  </conditionalFormatting>
  <conditionalFormatting sqref="B19:D20">
    <cfRule type="top10" dxfId="575" priority="35" rank="1"/>
  </conditionalFormatting>
  <conditionalFormatting sqref="B24:D25">
    <cfRule type="top10" dxfId="574" priority="34" rank="1"/>
  </conditionalFormatting>
  <conditionalFormatting sqref="B26:D27">
    <cfRule type="top10" dxfId="573" priority="33" rank="1"/>
  </conditionalFormatting>
  <conditionalFormatting sqref="B28:D29">
    <cfRule type="top10" dxfId="572" priority="32" rank="1"/>
  </conditionalFormatting>
  <conditionalFormatting sqref="B30:D31">
    <cfRule type="top10" dxfId="571" priority="31" rank="1"/>
  </conditionalFormatting>
  <conditionalFormatting sqref="J26 J28 J30">
    <cfRule type="cellIs" dxfId="570" priority="29" operator="equal">
      <formula>-30</formula>
    </cfRule>
    <cfRule type="cellIs" dxfId="569" priority="30" operator="lessThan">
      <formula>10</formula>
    </cfRule>
  </conditionalFormatting>
  <conditionalFormatting sqref="J56 J61">
    <cfRule type="cellIs" dxfId="568" priority="28" operator="lessThan">
      <formula>10</formula>
    </cfRule>
  </conditionalFormatting>
  <conditionalFormatting sqref="J56">
    <cfRule type="cellIs" dxfId="567" priority="27" operator="equal">
      <formula>-36</formula>
    </cfRule>
  </conditionalFormatting>
  <conditionalFormatting sqref="L56 L61">
    <cfRule type="cellIs" dxfId="566" priority="26" operator="equal">
      <formula>"Fail"</formula>
    </cfRule>
  </conditionalFormatting>
  <conditionalFormatting sqref="J66">
    <cfRule type="cellIs" dxfId="565" priority="24" operator="equal">
      <formula>-30</formula>
    </cfRule>
    <cfRule type="cellIs" dxfId="564" priority="25" operator="lessThan">
      <formula>10</formula>
    </cfRule>
  </conditionalFormatting>
  <conditionalFormatting sqref="L66">
    <cfRule type="cellIs" dxfId="563" priority="23" operator="equal">
      <formula>"Fail"</formula>
    </cfRule>
  </conditionalFormatting>
  <conditionalFormatting sqref="L68">
    <cfRule type="cellIs" dxfId="562" priority="22" operator="equal">
      <formula>"Fail"</formula>
    </cfRule>
  </conditionalFormatting>
  <conditionalFormatting sqref="L70">
    <cfRule type="cellIs" dxfId="561" priority="21" operator="equal">
      <formula>"Fail"</formula>
    </cfRule>
  </conditionalFormatting>
  <conditionalFormatting sqref="L72">
    <cfRule type="cellIs" dxfId="560" priority="20" operator="equal">
      <formula>"Fail"</formula>
    </cfRule>
  </conditionalFormatting>
  <conditionalFormatting sqref="L56:L57 L61:L62 L66:L73">
    <cfRule type="cellIs" dxfId="559" priority="19" operator="equal">
      <formula>"Pass"</formula>
    </cfRule>
  </conditionalFormatting>
  <conditionalFormatting sqref="L79">
    <cfRule type="cellIs" dxfId="558" priority="18" operator="equal">
      <formula>"Fail"</formula>
    </cfRule>
  </conditionalFormatting>
  <conditionalFormatting sqref="L79:L80">
    <cfRule type="cellIs" dxfId="557" priority="17" operator="equal">
      <formula>"Pass"</formula>
    </cfRule>
  </conditionalFormatting>
  <conditionalFormatting sqref="L84">
    <cfRule type="cellIs" dxfId="556" priority="16" operator="equal">
      <formula>"Fail"</formula>
    </cfRule>
  </conditionalFormatting>
  <conditionalFormatting sqref="L84:L85">
    <cfRule type="cellIs" dxfId="555" priority="15" operator="equal">
      <formula>"Pass"</formula>
    </cfRule>
  </conditionalFormatting>
  <conditionalFormatting sqref="B66:D73">
    <cfRule type="top10" dxfId="554" priority="12" rank="1"/>
  </conditionalFormatting>
  <conditionalFormatting sqref="B68:D69">
    <cfRule type="top10" dxfId="553" priority="11" rank="1"/>
  </conditionalFormatting>
  <conditionalFormatting sqref="B70:D71">
    <cfRule type="top10" dxfId="552" priority="10" rank="1"/>
  </conditionalFormatting>
  <conditionalFormatting sqref="B72:D73">
    <cfRule type="top10" dxfId="551" priority="9" rank="1"/>
  </conditionalFormatting>
  <conditionalFormatting sqref="J68 J70 J72">
    <cfRule type="cellIs" dxfId="550" priority="7" operator="equal">
      <formula>-30</formula>
    </cfRule>
    <cfRule type="cellIs" dxfId="549" priority="8" operator="lessThan">
      <formula>10</formula>
    </cfRule>
  </conditionalFormatting>
  <conditionalFormatting sqref="B56:D57">
    <cfRule type="top10" dxfId="548" priority="6" rank="1"/>
  </conditionalFormatting>
  <conditionalFormatting sqref="B61:D62">
    <cfRule type="top10" dxfId="547" priority="5" rank="1"/>
  </conditionalFormatting>
  <conditionalFormatting sqref="B37:D38">
    <cfRule type="top10" dxfId="546" priority="4" rank="1"/>
  </conditionalFormatting>
  <conditionalFormatting sqref="B42:D43">
    <cfRule type="top10" dxfId="545" priority="3" rank="1"/>
  </conditionalFormatting>
  <conditionalFormatting sqref="B79:D80">
    <cfRule type="top10" dxfId="544" priority="2" rank="1"/>
  </conditionalFormatting>
  <conditionalFormatting sqref="B84:D85">
    <cfRule type="top10" dxfId="543" priority="1" rank="1"/>
  </conditionalFormatting>
  <dataValidations count="1">
    <dataValidation type="list" allowBlank="1" showInputMessage="1" showErrorMessage="1" sqref="M14 M19 M30 M24 M26 M28 M37:M38 M56 M61 M72 M66 M68 M70 M84:M85 M79:M80 M42:M43" xr:uid="{083EA0D6-6DAD-4A10-A1A1-02BD5242F38C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84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6A79-0111-43B4-8255-D8B9C7D87F76}">
  <dimension ref="A1:P85"/>
  <sheetViews>
    <sheetView view="pageBreakPreview" zoomScale="85" zoomScaleNormal="100" zoomScaleSheetLayoutView="85" workbookViewId="0">
      <selection activeCell="F51" sqref="F51:M52"/>
    </sheetView>
  </sheetViews>
  <sheetFormatPr defaultRowHeight="16.5" outlineLevelCol="1" x14ac:dyDescent="0.3"/>
  <cols>
    <col min="1" max="11" width="12.625" style="6" customWidth="1"/>
    <col min="12" max="13" width="12.625" style="6" hidden="1" customWidth="1" outlineLevel="1"/>
    <col min="14" max="14" width="12.625" style="6" customWidth="1" collapsed="1"/>
    <col min="15" max="16" width="12.625" style="6" customWidth="1"/>
    <col min="17" max="22" width="12.625" customWidth="1"/>
  </cols>
  <sheetData>
    <row r="1" spans="1:14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4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36</v>
      </c>
      <c r="H2" s="28"/>
      <c r="I2" s="28"/>
      <c r="J2" s="28"/>
      <c r="K2" s="28"/>
      <c r="L2" s="28"/>
      <c r="M2" s="29"/>
    </row>
    <row r="3" spans="1:14" ht="24.95" customHeight="1" x14ac:dyDescent="0.3">
      <c r="A3" s="30" t="s">
        <v>38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4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4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4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4" ht="20.100000000000001" customHeight="1" x14ac:dyDescent="0.3">
      <c r="A7" s="62" t="s">
        <v>62</v>
      </c>
      <c r="B7" s="36"/>
      <c r="C7" s="36"/>
      <c r="D7" s="36"/>
      <c r="E7" s="36"/>
      <c r="F7" s="36"/>
      <c r="G7" s="36"/>
      <c r="H7" s="37">
        <v>30</v>
      </c>
      <c r="I7" s="37"/>
      <c r="J7" s="39"/>
      <c r="K7" s="40"/>
      <c r="L7" s="40"/>
      <c r="M7" s="41"/>
    </row>
    <row r="8" spans="1:14" ht="20.100000000000001" customHeight="1" thickBot="1" x14ac:dyDescent="0.35">
      <c r="A8" s="63"/>
      <c r="B8" s="37"/>
      <c r="C8" s="37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4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4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  <c r="N10" s="19"/>
    </row>
    <row r="11" spans="1:14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4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85" t="s">
        <v>18</v>
      </c>
      <c r="M12" s="87" t="s">
        <v>8</v>
      </c>
    </row>
    <row r="13" spans="1:14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86"/>
      <c r="M13" s="88"/>
    </row>
    <row r="14" spans="1:14" ht="21.95" customHeight="1" x14ac:dyDescent="0.3">
      <c r="A14" s="95" t="s">
        <v>26</v>
      </c>
      <c r="B14" s="3"/>
      <c r="C14" s="3"/>
      <c r="D14" s="3"/>
      <c r="E14" s="11" t="s">
        <v>27</v>
      </c>
      <c r="F14" s="97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91" t="str">
        <f>IF(OR(COUNTIF(B14:D15, "-")+COUNTBLANK(B14:D15)=6), "Pass", IF(H14 &gt; I14, "Fail", IF(J14 &lt; 3, "Margin 부족", "Pass")))</f>
        <v>Pass</v>
      </c>
      <c r="M14" s="93" t="s">
        <v>12</v>
      </c>
    </row>
    <row r="15" spans="1:14" ht="21.95" customHeight="1" thickBot="1" x14ac:dyDescent="0.35">
      <c r="A15" s="96"/>
      <c r="B15" s="7"/>
      <c r="C15" s="7"/>
      <c r="D15" s="7"/>
      <c r="E15" s="12" t="s">
        <v>28</v>
      </c>
      <c r="F15" s="98"/>
      <c r="G15" s="100"/>
      <c r="H15" s="102"/>
      <c r="I15" s="104"/>
      <c r="J15" s="106"/>
      <c r="K15" s="90"/>
      <c r="L15" s="92"/>
      <c r="M15" s="94"/>
    </row>
    <row r="16" spans="1:14" ht="21.95" customHeight="1" thickBot="1" x14ac:dyDescent="0.35">
      <c r="A16" s="107" t="s">
        <v>57</v>
      </c>
      <c r="B16" s="108"/>
      <c r="C16" s="108"/>
      <c r="D16" s="108"/>
      <c r="E16" s="109"/>
      <c r="F16" s="108" t="s">
        <v>56</v>
      </c>
      <c r="G16" s="108"/>
      <c r="H16" s="108"/>
      <c r="I16" s="108"/>
      <c r="J16" s="70"/>
      <c r="K16" s="108"/>
      <c r="L16" s="108"/>
      <c r="M16" s="108"/>
    </row>
    <row r="17" spans="1:16" ht="21.95" customHeight="1" thickTop="1" x14ac:dyDescent="0.3">
      <c r="A17" s="71" t="s">
        <v>43</v>
      </c>
      <c r="B17" s="73" t="s">
        <v>14</v>
      </c>
      <c r="C17" s="73" t="s">
        <v>15</v>
      </c>
      <c r="D17" s="73" t="s">
        <v>16</v>
      </c>
      <c r="E17" s="75" t="s">
        <v>17</v>
      </c>
      <c r="F17" s="71" t="s">
        <v>43</v>
      </c>
      <c r="G17" s="77" t="s">
        <v>17</v>
      </c>
      <c r="H17" s="77" t="s">
        <v>29</v>
      </c>
      <c r="I17" s="79" t="s">
        <v>41</v>
      </c>
      <c r="J17" s="81" t="s">
        <v>42</v>
      </c>
      <c r="K17" s="83" t="s">
        <v>10</v>
      </c>
      <c r="L17" s="85" t="s">
        <v>18</v>
      </c>
      <c r="M17" s="87" t="s">
        <v>8</v>
      </c>
    </row>
    <row r="18" spans="1:16" ht="21.95" customHeight="1" x14ac:dyDescent="0.3">
      <c r="A18" s="72"/>
      <c r="B18" s="74"/>
      <c r="C18" s="74"/>
      <c r="D18" s="74"/>
      <c r="E18" s="76"/>
      <c r="F18" s="72"/>
      <c r="G18" s="78"/>
      <c r="H18" s="78"/>
      <c r="I18" s="80"/>
      <c r="J18" s="82"/>
      <c r="K18" s="84"/>
      <c r="L18" s="86"/>
      <c r="M18" s="88"/>
    </row>
    <row r="19" spans="1:16" ht="21.95" customHeight="1" x14ac:dyDescent="0.3">
      <c r="A19" s="110" t="s">
        <v>26</v>
      </c>
      <c r="B19" s="3"/>
      <c r="C19" s="3"/>
      <c r="D19" s="3"/>
      <c r="E19" s="11" t="s">
        <v>27</v>
      </c>
      <c r="F19" s="112" t="str">
        <f>$A$19</f>
        <v>Spurious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05" t="str">
        <f>IF(OR(I19-H19&gt;10,I19-H19=-30),"No Peak Found",I19-H19)</f>
        <v>No Peak Found</v>
      </c>
      <c r="K19" s="89" t="s">
        <v>9</v>
      </c>
      <c r="L19" s="91" t="str">
        <f>IF(OR(COUNTIF(B19:D20, "-")+COUNTBLANK(B19:D20)=6), "Pass", IF(H19 &gt; I19, "Fail", IF(J19 &lt; 3, "Margin 부족", "Pass")))</f>
        <v>Pass</v>
      </c>
      <c r="M19" s="93" t="s">
        <v>12</v>
      </c>
    </row>
    <row r="20" spans="1:16" ht="21.95" customHeight="1" thickBot="1" x14ac:dyDescent="0.35">
      <c r="A20" s="111"/>
      <c r="B20" s="7"/>
      <c r="C20" s="7"/>
      <c r="D20" s="7"/>
      <c r="E20" s="12" t="s">
        <v>28</v>
      </c>
      <c r="F20" s="113"/>
      <c r="G20" s="114"/>
      <c r="H20" s="115"/>
      <c r="I20" s="116"/>
      <c r="J20" s="106"/>
      <c r="K20" s="117"/>
      <c r="L20" s="118"/>
      <c r="M20" s="119"/>
    </row>
    <row r="21" spans="1:16" ht="21.95" customHeight="1" thickBot="1" x14ac:dyDescent="0.35">
      <c r="A21" s="120" t="s">
        <v>58</v>
      </c>
      <c r="B21" s="121"/>
      <c r="C21" s="121"/>
      <c r="D21" s="121"/>
      <c r="E21" s="121"/>
      <c r="F21" s="122" t="s">
        <v>58</v>
      </c>
      <c r="G21" s="123"/>
      <c r="H21" s="123"/>
      <c r="I21" s="123"/>
      <c r="J21" s="70"/>
      <c r="K21" s="123"/>
      <c r="L21" s="124"/>
      <c r="M21" s="125"/>
    </row>
    <row r="22" spans="1:16" ht="21.95" customHeight="1" thickTop="1" x14ac:dyDescent="0.3">
      <c r="A22" s="126" t="s">
        <v>43</v>
      </c>
      <c r="B22" s="128" t="s">
        <v>14</v>
      </c>
      <c r="C22" s="128" t="s">
        <v>15</v>
      </c>
      <c r="D22" s="128" t="s">
        <v>16</v>
      </c>
      <c r="E22" s="130" t="s">
        <v>17</v>
      </c>
      <c r="F22" s="126" t="s">
        <v>43</v>
      </c>
      <c r="G22" s="132" t="s">
        <v>17</v>
      </c>
      <c r="H22" s="132" t="s">
        <v>29</v>
      </c>
      <c r="I22" s="133" t="s">
        <v>41</v>
      </c>
      <c r="J22" s="81" t="s">
        <v>42</v>
      </c>
      <c r="K22" s="134" t="s">
        <v>10</v>
      </c>
      <c r="L22" s="136" t="s">
        <v>18</v>
      </c>
      <c r="M22" s="138" t="s">
        <v>8</v>
      </c>
    </row>
    <row r="23" spans="1:16" ht="21.75" customHeight="1" x14ac:dyDescent="0.3">
      <c r="A23" s="127"/>
      <c r="B23" s="129"/>
      <c r="C23" s="129"/>
      <c r="D23" s="129"/>
      <c r="E23" s="131"/>
      <c r="F23" s="127"/>
      <c r="G23" s="78"/>
      <c r="H23" s="78"/>
      <c r="I23" s="80"/>
      <c r="J23" s="82"/>
      <c r="K23" s="135"/>
      <c r="L23" s="137"/>
      <c r="M23" s="139"/>
    </row>
    <row r="24" spans="1:16" ht="21.95" customHeight="1" x14ac:dyDescent="0.3">
      <c r="A24" s="140">
        <f>J7*2</f>
        <v>0</v>
      </c>
      <c r="B24" s="4"/>
      <c r="C24" s="4"/>
      <c r="D24" s="4"/>
      <c r="E24" s="13" t="s">
        <v>1</v>
      </c>
      <c r="F24" s="142">
        <f>$A$24</f>
        <v>0</v>
      </c>
      <c r="G24" s="99" t="str">
        <f>IF(COUNT(B24:D24)=0, "H", IF(COUNT(B25:D25)=0, "V", IF(MAX(B24:D24) &gt;= MAX(B25:D25), "V", "H")))</f>
        <v>H</v>
      </c>
      <c r="H24" s="101">
        <f>MAX(B24:D25)</f>
        <v>0</v>
      </c>
      <c r="I24" s="103">
        <v>-30</v>
      </c>
      <c r="J24" s="143" t="str">
        <f>IF(OR(I24-H24&gt;10,I24-H24=-30),"No Peak Found",I24-H24)</f>
        <v>No Peak Found</v>
      </c>
      <c r="K24" s="144" t="s">
        <v>9</v>
      </c>
      <c r="L24" s="117" t="str">
        <f>IF(OR(COUNTIF(B24:D25, "-")+COUNTBLANK(B24:D25)=6), "Pass", IF(H24 &gt; I24, "Fail", IF(J24 &lt; 3, "Margin 부족", "Pass")))</f>
        <v>Pass</v>
      </c>
      <c r="M24" s="146" t="s">
        <v>11</v>
      </c>
    </row>
    <row r="25" spans="1:16" ht="21.95" customHeight="1" x14ac:dyDescent="0.3">
      <c r="A25" s="141"/>
      <c r="B25" s="4"/>
      <c r="C25" s="4"/>
      <c r="D25" s="4"/>
      <c r="E25" s="13" t="s">
        <v>0</v>
      </c>
      <c r="F25" s="142"/>
      <c r="G25" s="99"/>
      <c r="H25" s="101"/>
      <c r="I25" s="103"/>
      <c r="J25" s="143"/>
      <c r="K25" s="144"/>
      <c r="L25" s="145"/>
      <c r="M25" s="147"/>
    </row>
    <row r="26" spans="1:16" ht="21.95" customHeight="1" x14ac:dyDescent="0.3">
      <c r="A26" s="140">
        <f>J7*3</f>
        <v>0</v>
      </c>
      <c r="B26" s="4"/>
      <c r="C26" s="4"/>
      <c r="D26" s="4"/>
      <c r="E26" s="13" t="s">
        <v>1</v>
      </c>
      <c r="F26" s="148">
        <f>$A$26</f>
        <v>0</v>
      </c>
      <c r="G26" s="99" t="str">
        <f>IF(COUNT(B26:D26)=0, "H", IF(COUNT(B27:D27)=0, "V", IF(MAX(B26:D26) &gt;= MAX(B27:D27), "V", "H")))</f>
        <v>H</v>
      </c>
      <c r="H26" s="101">
        <f>MAX(B26:D27)</f>
        <v>0</v>
      </c>
      <c r="I26" s="149">
        <v>-30</v>
      </c>
      <c r="J26" s="143" t="str">
        <f t="shared" ref="J26" si="0">IF(OR(I26-H26&gt;10,I26-H26=-30),"No Peak Found",I26-H26)</f>
        <v>No Peak Found</v>
      </c>
      <c r="K26" s="150" t="s">
        <v>9</v>
      </c>
      <c r="L26" s="117" t="str">
        <f>IF(OR(COUNTIF(B26:D27, "-")+COUNTBLANK(B26:D27)=6), "Pass", IF(H26 &gt; I26, "Fail", IF(J26 &lt; 3, "Margin 부족", "Pass")))</f>
        <v>Pass</v>
      </c>
      <c r="M26" s="146" t="s">
        <v>11</v>
      </c>
    </row>
    <row r="27" spans="1:16" ht="21.95" customHeight="1" x14ac:dyDescent="0.3">
      <c r="A27" s="141"/>
      <c r="B27" s="4"/>
      <c r="C27" s="4"/>
      <c r="D27" s="4"/>
      <c r="E27" s="13" t="s">
        <v>0</v>
      </c>
      <c r="F27" s="148"/>
      <c r="G27" s="99"/>
      <c r="H27" s="101"/>
      <c r="I27" s="149"/>
      <c r="J27" s="143"/>
      <c r="K27" s="150"/>
      <c r="L27" s="145"/>
      <c r="M27" s="147"/>
      <c r="N27" s="8" t="s">
        <v>8</v>
      </c>
    </row>
    <row r="28" spans="1:16" ht="21.95" customHeight="1" x14ac:dyDescent="0.3">
      <c r="A28" s="140">
        <f>J7*4</f>
        <v>0</v>
      </c>
      <c r="B28" s="4"/>
      <c r="C28" s="4"/>
      <c r="D28" s="4"/>
      <c r="E28" s="13" t="s">
        <v>1</v>
      </c>
      <c r="F28" s="142">
        <f>$A$28</f>
        <v>0</v>
      </c>
      <c r="G28" s="99" t="str">
        <f>IF(COUNT(B28:D28)=0, "H", IF(COUNT(B29:D29)=0, "V", IF(MAX(B28:D28) &gt;= MAX(B29:D29), "V", "H")))</f>
        <v>H</v>
      </c>
      <c r="H28" s="101">
        <f>MAX(B28:D29)</f>
        <v>0</v>
      </c>
      <c r="I28" s="149">
        <v>-30</v>
      </c>
      <c r="J28" s="143" t="str">
        <f t="shared" ref="J28" si="1">IF(OR(I28-H28&gt;10,I28-H28=-30),"No Peak Found",I28-H28)</f>
        <v>No Peak Found</v>
      </c>
      <c r="K28" s="171" t="s">
        <v>9</v>
      </c>
      <c r="L28" s="117" t="str">
        <f>IF(OR(COUNTIF(B28:D29, "-")+COUNTBLANK(B28:D29)=6), "Pass", IF(H28 &gt; I28, "Fail", IF(J28 &lt; 3, "Margin 부족", "Pass")))</f>
        <v>Pass</v>
      </c>
      <c r="M28" s="146" t="s">
        <v>11</v>
      </c>
      <c r="N28" s="163" t="str">
        <f>"1. Sub6 NR Band : " &amp; VALUE(RIGHT(A7, LEN(A7)-1))</f>
        <v>1. Sub6 NR Band : 78</v>
      </c>
      <c r="O28" s="164"/>
      <c r="P28" s="164"/>
    </row>
    <row r="29" spans="1:16" ht="21.95" customHeight="1" x14ac:dyDescent="0.3">
      <c r="A29" s="141"/>
      <c r="B29" s="4"/>
      <c r="C29" s="4"/>
      <c r="D29" s="4"/>
      <c r="E29" s="13" t="s">
        <v>0</v>
      </c>
      <c r="F29" s="142"/>
      <c r="G29" s="99"/>
      <c r="H29" s="101"/>
      <c r="I29" s="149"/>
      <c r="J29" s="143"/>
      <c r="K29" s="171"/>
      <c r="L29" s="145"/>
      <c r="M29" s="147"/>
      <c r="N29" s="152" t="str">
        <f>"2. SCS : " &amp; H7 &amp; " kHz"</f>
        <v>2. SCS : 30 kHz</v>
      </c>
      <c r="O29" s="153"/>
      <c r="P29" s="153"/>
    </row>
    <row r="30" spans="1:16" ht="21.95" customHeight="1" x14ac:dyDescent="0.3">
      <c r="A30" s="140">
        <f>J7*5</f>
        <v>0</v>
      </c>
      <c r="B30" s="4"/>
      <c r="C30" s="4"/>
      <c r="D30" s="4"/>
      <c r="E30" s="13" t="s">
        <v>1</v>
      </c>
      <c r="F30" s="148">
        <f>$A$30</f>
        <v>0</v>
      </c>
      <c r="G30" s="99" t="str">
        <f>IF(COUNT(B30:D30)=0, "H", IF(COUNT(B31:D31)=0, "V", IF(MAX(B30:D30) &gt;= MAX(B31:D31), "V", "H")))</f>
        <v>H</v>
      </c>
      <c r="H30" s="101">
        <f>MAX(B30:D31)</f>
        <v>0</v>
      </c>
      <c r="I30" s="149">
        <v>-30</v>
      </c>
      <c r="J30" s="143" t="str">
        <f t="shared" ref="J30" si="2">IF(OR(I30-H30&gt;10,I30-H30=-30),"No Peak Found",I30-H30)</f>
        <v>No Peak Found</v>
      </c>
      <c r="K30" s="171" t="s">
        <v>9</v>
      </c>
      <c r="L30" s="117" t="str">
        <f>IF(OR(COUNTIF(B30:D31, "-")+COUNTBLANK(B30:D31)=6), "Pass", IF(H30 &gt; I30, "Fail", IF(J30 &lt; 3, "Margin 부족", "Pass")))</f>
        <v>Pass</v>
      </c>
      <c r="M30" s="146" t="s">
        <v>11</v>
      </c>
      <c r="N30" s="152" t="str">
        <f>"3. The test was performed the " &amp; I7 &amp; " antenna."</f>
        <v>3. The test was performed the  antenna.</v>
      </c>
      <c r="O30" s="153"/>
      <c r="P30" s="153"/>
    </row>
    <row r="31" spans="1:16" ht="21.95" customHeight="1" thickBot="1" x14ac:dyDescent="0.35">
      <c r="A31" s="165"/>
      <c r="B31" s="9"/>
      <c r="C31" s="9"/>
      <c r="D31" s="9"/>
      <c r="E31" s="14" t="s">
        <v>28</v>
      </c>
      <c r="F31" s="166"/>
      <c r="G31" s="167"/>
      <c r="H31" s="168"/>
      <c r="I31" s="169"/>
      <c r="J31" s="170"/>
      <c r="K31" s="172"/>
      <c r="L31" s="173"/>
      <c r="M31" s="151"/>
      <c r="N31" s="152" t="str">
        <f>"4. " &amp; LEFT(A9, FIND(" ", A9 &amp; " ") - 1) &amp; " Mode Test."</f>
        <v>4. NSA Mode Test.</v>
      </c>
      <c r="O31" s="154"/>
      <c r="P31" s="154"/>
    </row>
    <row r="32" spans="1:16" ht="24.95" customHeight="1" x14ac:dyDescent="0.3">
      <c r="A32" s="155" t="s">
        <v>32</v>
      </c>
      <c r="B32" s="156"/>
      <c r="C32" s="156"/>
      <c r="D32" s="156"/>
      <c r="E32" s="157"/>
      <c r="F32" s="159" t="s">
        <v>49</v>
      </c>
      <c r="G32" s="159"/>
      <c r="H32" s="159"/>
      <c r="I32" s="159"/>
      <c r="J32" s="159"/>
      <c r="K32" s="159"/>
      <c r="L32" s="159"/>
      <c r="M32" s="160"/>
    </row>
    <row r="33" spans="1:16" ht="24.95" customHeight="1" x14ac:dyDescent="0.3">
      <c r="A33" s="158"/>
      <c r="B33" s="156"/>
      <c r="C33" s="156"/>
      <c r="D33" s="156"/>
      <c r="E33" s="157"/>
      <c r="F33" s="161"/>
      <c r="G33" s="161"/>
      <c r="H33" s="161"/>
      <c r="I33" s="161"/>
      <c r="J33" s="161"/>
      <c r="K33" s="161"/>
      <c r="L33" s="161"/>
      <c r="M33" s="162"/>
    </row>
    <row r="34" spans="1:16" ht="21.95" customHeight="1" thickBot="1" x14ac:dyDescent="0.35">
      <c r="A34" s="174" t="s">
        <v>6</v>
      </c>
      <c r="B34" s="175"/>
      <c r="C34" s="175"/>
      <c r="D34" s="175"/>
      <c r="E34" s="176"/>
      <c r="F34" s="177" t="s">
        <v>6</v>
      </c>
      <c r="G34" s="177"/>
      <c r="H34" s="177"/>
      <c r="I34" s="177"/>
      <c r="J34" s="177"/>
      <c r="K34" s="177"/>
      <c r="L34" s="177"/>
      <c r="M34" s="177"/>
    </row>
    <row r="35" spans="1:16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85" t="s">
        <v>18</v>
      </c>
      <c r="M35" s="87" t="s">
        <v>8</v>
      </c>
    </row>
    <row r="36" spans="1:16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86"/>
      <c r="M36" s="88"/>
    </row>
    <row r="37" spans="1:16" ht="21.95" customHeight="1" x14ac:dyDescent="0.3">
      <c r="A37" s="189" t="s">
        <v>26</v>
      </c>
      <c r="B37" s="3"/>
      <c r="C37" s="3"/>
      <c r="D37" s="3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-57</v>
      </c>
      <c r="J37" s="178" t="str">
        <f>IF(OR(I37-H37&gt;10,I37-H37=-57),"No Peak Found",I37-H37)</f>
        <v>No Peak Found</v>
      </c>
      <c r="K37" s="180" t="s">
        <v>9</v>
      </c>
      <c r="L37" s="91" t="str">
        <f>IF(OR(COUNTIF(B37:D38, "-")+COUNTBLANK(B37:D38)=6), "Pass", IF(H37 &gt; I37, "Fail", IF(J37 &lt; 3, "Margin 부족", "Pass")))</f>
        <v>Pass</v>
      </c>
      <c r="M37" s="182" t="s">
        <v>12</v>
      </c>
      <c r="P37" s="19"/>
    </row>
    <row r="38" spans="1:16" ht="21.95" customHeight="1" thickBot="1" x14ac:dyDescent="0.35">
      <c r="A38" s="190"/>
      <c r="B38" s="7"/>
      <c r="C38" s="7"/>
      <c r="D38" s="7"/>
      <c r="E38" s="12" t="s">
        <v>28</v>
      </c>
      <c r="F38" s="192"/>
      <c r="G38" s="194"/>
      <c r="H38" s="196"/>
      <c r="I38" s="198"/>
      <c r="J38" s="179"/>
      <c r="K38" s="181"/>
      <c r="L38" s="92"/>
      <c r="M38" s="183"/>
    </row>
    <row r="39" spans="1:16" ht="21.95" customHeight="1" thickBot="1" x14ac:dyDescent="0.35">
      <c r="A39" s="184" t="s">
        <v>5</v>
      </c>
      <c r="B39" s="185"/>
      <c r="C39" s="185"/>
      <c r="D39" s="185"/>
      <c r="E39" s="186"/>
      <c r="F39" s="70" t="s">
        <v>5</v>
      </c>
      <c r="G39" s="70"/>
      <c r="H39" s="70"/>
      <c r="I39" s="70"/>
      <c r="J39" s="70"/>
      <c r="K39" s="70"/>
      <c r="L39" s="70"/>
      <c r="M39" s="70"/>
    </row>
    <row r="40" spans="1:16" ht="21.95" customHeight="1" thickTop="1" x14ac:dyDescent="0.3">
      <c r="A40" s="71" t="s">
        <v>43</v>
      </c>
      <c r="B40" s="73" t="s">
        <v>14</v>
      </c>
      <c r="C40" s="73" t="s">
        <v>15</v>
      </c>
      <c r="D40" s="73" t="s">
        <v>16</v>
      </c>
      <c r="E40" s="75" t="s">
        <v>17</v>
      </c>
      <c r="F40" s="71" t="s">
        <v>43</v>
      </c>
      <c r="G40" s="77" t="s">
        <v>17</v>
      </c>
      <c r="H40" s="77" t="s">
        <v>29</v>
      </c>
      <c r="I40" s="79" t="s">
        <v>41</v>
      </c>
      <c r="J40" s="81" t="s">
        <v>42</v>
      </c>
      <c r="K40" s="187" t="s">
        <v>10</v>
      </c>
      <c r="L40" s="85" t="s">
        <v>18</v>
      </c>
      <c r="M40" s="87" t="s">
        <v>8</v>
      </c>
    </row>
    <row r="41" spans="1:16" ht="21.95" customHeight="1" x14ac:dyDescent="0.3">
      <c r="A41" s="72"/>
      <c r="B41" s="74"/>
      <c r="C41" s="74"/>
      <c r="D41" s="74"/>
      <c r="E41" s="76"/>
      <c r="F41" s="72"/>
      <c r="G41" s="78"/>
      <c r="H41" s="78"/>
      <c r="I41" s="80"/>
      <c r="J41" s="82"/>
      <c r="K41" s="188"/>
      <c r="L41" s="86"/>
      <c r="M41" s="88"/>
    </row>
    <row r="42" spans="1:16" ht="21.95" customHeight="1" x14ac:dyDescent="0.3">
      <c r="A42" s="189" t="s">
        <v>26</v>
      </c>
      <c r="B42" s="3"/>
      <c r="C42" s="3"/>
      <c r="D42" s="3"/>
      <c r="E42" s="11" t="s">
        <v>27</v>
      </c>
      <c r="F42" s="191" t="str">
        <f>A42</f>
        <v>Spurious</v>
      </c>
      <c r="G42" s="193" t="str">
        <f>IF(COUNT(B42:D42)=0, "H", IF(COUNT(B43:D43)=0, "V", IF(MAX(B42:D42) &gt;= MAX(B43:D43), "V", "H")))</f>
        <v>H</v>
      </c>
      <c r="H42" s="195">
        <f>MAX(B42:D43)</f>
        <v>0</v>
      </c>
      <c r="I42" s="197">
        <v>-47</v>
      </c>
      <c r="J42" s="178" t="str">
        <f>IF(OR(I42-H42&gt;10,I42-H42=-47),"No Peak Found",I42-H42)</f>
        <v>No Peak Found</v>
      </c>
      <c r="K42" s="180" t="s">
        <v>9</v>
      </c>
      <c r="L42" s="91" t="str">
        <f>IF(OR(COUNTIF(B42:D43, "-")+COUNTBLANK(B42:D43)=6), "Pass", IF(H42 &gt; I42, "Fail", IF(J42 &lt; 3, "Margin 부족", "Pass")))</f>
        <v>Pass</v>
      </c>
      <c r="M42" s="182" t="s">
        <v>12</v>
      </c>
    </row>
    <row r="43" spans="1:16" ht="21.95" customHeight="1" thickBot="1" x14ac:dyDescent="0.35">
      <c r="A43" s="190"/>
      <c r="B43" s="7"/>
      <c r="C43" s="7"/>
      <c r="D43" s="7"/>
      <c r="E43" s="12" t="s">
        <v>28</v>
      </c>
      <c r="F43" s="192"/>
      <c r="G43" s="194"/>
      <c r="H43" s="196"/>
      <c r="I43" s="198"/>
      <c r="J43" s="179"/>
      <c r="K43" s="181"/>
      <c r="L43" s="92"/>
      <c r="M43" s="183"/>
    </row>
    <row r="44" spans="1:16" ht="21.95" customHeight="1" thickBot="1" x14ac:dyDescent="0.35"/>
    <row r="45" spans="1:16" ht="21.95" customHeight="1" x14ac:dyDescent="0.3">
      <c r="A45" s="30" t="s">
        <v>38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2"/>
    </row>
    <row r="46" spans="1:16" ht="21.95" customHeight="1" thickBot="1" x14ac:dyDescent="0.35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5"/>
    </row>
    <row r="47" spans="1:16" ht="21.95" customHeight="1" x14ac:dyDescent="0.3">
      <c r="A47" s="52" t="s">
        <v>19</v>
      </c>
      <c r="B47" s="66" t="s">
        <v>47</v>
      </c>
      <c r="C47" s="52" t="s">
        <v>22</v>
      </c>
      <c r="D47" s="52" t="s">
        <v>23</v>
      </c>
      <c r="E47" s="52" t="s">
        <v>20</v>
      </c>
      <c r="F47" s="52" t="s">
        <v>21</v>
      </c>
      <c r="G47" s="52" t="s">
        <v>24</v>
      </c>
      <c r="H47" s="54" t="s">
        <v>39</v>
      </c>
      <c r="I47" s="55" t="s">
        <v>37</v>
      </c>
      <c r="J47" s="56" t="s">
        <v>40</v>
      </c>
      <c r="K47" s="57"/>
      <c r="L47" s="57"/>
      <c r="M47" s="58"/>
    </row>
    <row r="48" spans="1:16" ht="21.95" customHeight="1" x14ac:dyDescent="0.3">
      <c r="A48" s="53"/>
      <c r="B48" s="53"/>
      <c r="C48" s="53"/>
      <c r="D48" s="53"/>
      <c r="E48" s="53"/>
      <c r="F48" s="53"/>
      <c r="G48" s="53"/>
      <c r="H48" s="52"/>
      <c r="I48" s="52"/>
      <c r="J48" s="59"/>
      <c r="K48" s="60"/>
      <c r="L48" s="60"/>
      <c r="M48" s="61"/>
    </row>
    <row r="49" spans="1:16" ht="21.95" customHeight="1" x14ac:dyDescent="0.3">
      <c r="A49" s="62" t="s">
        <v>62</v>
      </c>
      <c r="B49" s="257"/>
      <c r="C49" s="36"/>
      <c r="D49" s="36"/>
      <c r="E49" s="36"/>
      <c r="F49" s="36"/>
      <c r="G49" s="36"/>
      <c r="H49" s="37">
        <v>30</v>
      </c>
      <c r="I49" s="37"/>
      <c r="J49" s="39"/>
      <c r="K49" s="40"/>
      <c r="L49" s="40"/>
      <c r="M49" s="41"/>
    </row>
    <row r="50" spans="1:16" ht="21.95" customHeight="1" thickBot="1" x14ac:dyDescent="0.35">
      <c r="A50" s="63"/>
      <c r="B50" s="258"/>
      <c r="C50" s="37"/>
      <c r="D50" s="37"/>
      <c r="E50" s="37"/>
      <c r="F50" s="37"/>
      <c r="G50" s="37"/>
      <c r="H50" s="38"/>
      <c r="I50" s="38"/>
      <c r="J50" s="42"/>
      <c r="K50" s="43"/>
      <c r="L50" s="43"/>
      <c r="M50" s="44"/>
    </row>
    <row r="51" spans="1:16" ht="21.95" customHeight="1" x14ac:dyDescent="0.3">
      <c r="A51" s="45" t="s">
        <v>44</v>
      </c>
      <c r="B51" s="46"/>
      <c r="C51" s="46"/>
      <c r="D51" s="46"/>
      <c r="E51" s="47"/>
      <c r="F51" s="51" t="s">
        <v>50</v>
      </c>
      <c r="G51" s="46"/>
      <c r="H51" s="46"/>
      <c r="I51" s="46"/>
      <c r="J51" s="46"/>
      <c r="K51" s="46"/>
      <c r="L51" s="46"/>
      <c r="M51" s="47"/>
    </row>
    <row r="52" spans="1:16" ht="21.95" customHeight="1" x14ac:dyDescent="0.3">
      <c r="A52" s="48"/>
      <c r="B52" s="49"/>
      <c r="C52" s="49"/>
      <c r="D52" s="49"/>
      <c r="E52" s="50"/>
      <c r="F52" s="49"/>
      <c r="G52" s="49"/>
      <c r="H52" s="49"/>
      <c r="I52" s="49"/>
      <c r="J52" s="49"/>
      <c r="K52" s="49"/>
      <c r="L52" s="49"/>
      <c r="M52" s="50"/>
    </row>
    <row r="53" spans="1:16" ht="21.95" customHeight="1" thickBot="1" x14ac:dyDescent="0.35">
      <c r="A53" s="67" t="s">
        <v>7</v>
      </c>
      <c r="B53" s="68"/>
      <c r="C53" s="68"/>
      <c r="D53" s="68"/>
      <c r="E53" s="69"/>
      <c r="F53" s="68" t="s">
        <v>7</v>
      </c>
      <c r="G53" s="68"/>
      <c r="H53" s="68"/>
      <c r="I53" s="68"/>
      <c r="J53" s="70"/>
      <c r="K53" s="68"/>
      <c r="L53" s="68"/>
      <c r="M53" s="69"/>
    </row>
    <row r="54" spans="1:16" ht="21.95" customHeight="1" thickTop="1" x14ac:dyDescent="0.3">
      <c r="A54" s="71" t="s">
        <v>43</v>
      </c>
      <c r="B54" s="73" t="s">
        <v>4</v>
      </c>
      <c r="C54" s="73" t="s">
        <v>15</v>
      </c>
      <c r="D54" s="73" t="s">
        <v>3</v>
      </c>
      <c r="E54" s="75" t="s">
        <v>2</v>
      </c>
      <c r="F54" s="71" t="s">
        <v>43</v>
      </c>
      <c r="G54" s="77" t="s">
        <v>17</v>
      </c>
      <c r="H54" s="77" t="s">
        <v>29</v>
      </c>
      <c r="I54" s="79" t="s">
        <v>41</v>
      </c>
      <c r="J54" s="81" t="s">
        <v>42</v>
      </c>
      <c r="K54" s="83" t="s">
        <v>10</v>
      </c>
      <c r="L54" s="85" t="s">
        <v>18</v>
      </c>
      <c r="M54" s="87" t="s">
        <v>8</v>
      </c>
    </row>
    <row r="55" spans="1:16" ht="21.95" customHeight="1" x14ac:dyDescent="0.3">
      <c r="A55" s="72"/>
      <c r="B55" s="74"/>
      <c r="C55" s="74"/>
      <c r="D55" s="74"/>
      <c r="E55" s="76"/>
      <c r="F55" s="72"/>
      <c r="G55" s="78"/>
      <c r="H55" s="78"/>
      <c r="I55" s="80"/>
      <c r="J55" s="82"/>
      <c r="K55" s="84"/>
      <c r="L55" s="86"/>
      <c r="M55" s="88"/>
    </row>
    <row r="56" spans="1:16" ht="21.95" customHeight="1" x14ac:dyDescent="0.3">
      <c r="A56" s="95" t="s">
        <v>26</v>
      </c>
      <c r="B56" s="3"/>
      <c r="C56" s="3"/>
      <c r="D56" s="3"/>
      <c r="E56" s="11" t="s">
        <v>27</v>
      </c>
      <c r="F56" s="97" t="str">
        <f>A56</f>
        <v>Spurious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-36</v>
      </c>
      <c r="J56" s="105" t="str">
        <f>IF(OR(I56-H56&gt;10,I56-H56=-36),"No Peak Found",I56-H56)</f>
        <v>No Peak Found</v>
      </c>
      <c r="K56" s="89" t="s">
        <v>9</v>
      </c>
      <c r="L56" s="91" t="str">
        <f>IF(OR(COUNTIF(B56:D57, "-")+COUNTBLANK(B56:D57)=6), "Pass", IF(H56 &gt; I56, "Fail", IF(J56 &lt; 3, "Margin 부족", "Pass")))</f>
        <v>Pass</v>
      </c>
      <c r="M56" s="93" t="s">
        <v>12</v>
      </c>
    </row>
    <row r="57" spans="1:16" ht="21.95" customHeight="1" thickBot="1" x14ac:dyDescent="0.35">
      <c r="A57" s="96"/>
      <c r="B57" s="7"/>
      <c r="C57" s="7"/>
      <c r="D57" s="7"/>
      <c r="E57" s="12" t="s">
        <v>28</v>
      </c>
      <c r="F57" s="98"/>
      <c r="G57" s="100"/>
      <c r="H57" s="102"/>
      <c r="I57" s="104"/>
      <c r="J57" s="106"/>
      <c r="K57" s="90"/>
      <c r="L57" s="92"/>
      <c r="M57" s="94"/>
    </row>
    <row r="58" spans="1:16" ht="21.95" customHeight="1" thickBot="1" x14ac:dyDescent="0.35">
      <c r="A58" s="107" t="s">
        <v>57</v>
      </c>
      <c r="B58" s="108"/>
      <c r="C58" s="108"/>
      <c r="D58" s="108"/>
      <c r="E58" s="109"/>
      <c r="F58" s="108" t="s">
        <v>57</v>
      </c>
      <c r="G58" s="108"/>
      <c r="H58" s="108"/>
      <c r="I58" s="108"/>
      <c r="J58" s="70"/>
      <c r="K58" s="108"/>
      <c r="L58" s="108"/>
      <c r="M58" s="108"/>
    </row>
    <row r="59" spans="1:16" ht="21.95" customHeight="1" thickTop="1" x14ac:dyDescent="0.3">
      <c r="A59" s="71" t="s">
        <v>43</v>
      </c>
      <c r="B59" s="73" t="s">
        <v>14</v>
      </c>
      <c r="C59" s="73" t="s">
        <v>15</v>
      </c>
      <c r="D59" s="73" t="s">
        <v>16</v>
      </c>
      <c r="E59" s="75" t="s">
        <v>17</v>
      </c>
      <c r="F59" s="71" t="s">
        <v>43</v>
      </c>
      <c r="G59" s="77" t="s">
        <v>17</v>
      </c>
      <c r="H59" s="77" t="s">
        <v>29</v>
      </c>
      <c r="I59" s="79" t="s">
        <v>41</v>
      </c>
      <c r="J59" s="81" t="s">
        <v>42</v>
      </c>
      <c r="K59" s="83" t="s">
        <v>10</v>
      </c>
      <c r="L59" s="85" t="s">
        <v>18</v>
      </c>
      <c r="M59" s="87" t="s">
        <v>8</v>
      </c>
    </row>
    <row r="60" spans="1:16" ht="21.95" customHeight="1" x14ac:dyDescent="0.3">
      <c r="A60" s="72"/>
      <c r="B60" s="74"/>
      <c r="C60" s="74"/>
      <c r="D60" s="74"/>
      <c r="E60" s="76"/>
      <c r="F60" s="72"/>
      <c r="G60" s="78"/>
      <c r="H60" s="78"/>
      <c r="I60" s="80"/>
      <c r="J60" s="82"/>
      <c r="K60" s="84"/>
      <c r="L60" s="86"/>
      <c r="M60" s="88"/>
    </row>
    <row r="61" spans="1:16" ht="21.95" customHeight="1" x14ac:dyDescent="0.3">
      <c r="A61" s="110" t="s">
        <v>26</v>
      </c>
      <c r="B61" s="3"/>
      <c r="C61" s="3"/>
      <c r="D61" s="3"/>
      <c r="E61" s="11" t="s">
        <v>27</v>
      </c>
      <c r="F61" s="112" t="str">
        <f>$A$19</f>
        <v>Spurious</v>
      </c>
      <c r="G61" s="99" t="str">
        <f>IF(COUNT(B61:D61)=0, "H", IF(COUNT(B62:D62)=0, "V", IF(MAX(B61:D61) &gt;= MAX(B62:D62), "V", "H")))</f>
        <v>H</v>
      </c>
      <c r="H61" s="101">
        <f>MAX(B61:D62)</f>
        <v>0</v>
      </c>
      <c r="I61" s="103">
        <v>-30</v>
      </c>
      <c r="J61" s="105" t="str">
        <f>IF(OR(I61-H61&gt;10,I61-H61=-30),"No Peak Found",I61-H61)</f>
        <v>No Peak Found</v>
      </c>
      <c r="K61" s="89" t="s">
        <v>9</v>
      </c>
      <c r="L61" s="91" t="str">
        <f>IF(OR(COUNTIF(B61:D62, "-")+COUNTBLANK(B61:D62)=6), "Pass", IF(H61 &gt; I61, "Fail", IF(J61 &lt; 3, "Margin 부족", "Pass")))</f>
        <v>Pass</v>
      </c>
      <c r="M61" s="93" t="s">
        <v>12</v>
      </c>
    </row>
    <row r="62" spans="1:16" ht="21.95" customHeight="1" thickBot="1" x14ac:dyDescent="0.35">
      <c r="A62" s="111"/>
      <c r="B62" s="7"/>
      <c r="C62" s="7"/>
      <c r="D62" s="7"/>
      <c r="E62" s="12" t="s">
        <v>28</v>
      </c>
      <c r="F62" s="113"/>
      <c r="G62" s="114"/>
      <c r="H62" s="115"/>
      <c r="I62" s="116"/>
      <c r="J62" s="106"/>
      <c r="K62" s="117"/>
      <c r="L62" s="118"/>
      <c r="M62" s="119"/>
    </row>
    <row r="63" spans="1:16" ht="21.95" customHeight="1" thickBot="1" x14ac:dyDescent="0.35">
      <c r="A63" s="120" t="s">
        <v>58</v>
      </c>
      <c r="B63" s="121"/>
      <c r="C63" s="121"/>
      <c r="D63" s="121"/>
      <c r="E63" s="121"/>
      <c r="F63" s="122" t="s">
        <v>58</v>
      </c>
      <c r="G63" s="123"/>
      <c r="H63" s="123"/>
      <c r="I63" s="123"/>
      <c r="J63" s="70"/>
      <c r="K63" s="123"/>
      <c r="L63" s="124"/>
      <c r="M63" s="125"/>
      <c r="N63" s="8" t="s">
        <v>8</v>
      </c>
    </row>
    <row r="64" spans="1:16" ht="21.95" customHeight="1" thickTop="1" x14ac:dyDescent="0.3">
      <c r="A64" s="71" t="s">
        <v>43</v>
      </c>
      <c r="B64" s="73" t="s">
        <v>14</v>
      </c>
      <c r="C64" s="73" t="s">
        <v>15</v>
      </c>
      <c r="D64" s="73" t="s">
        <v>16</v>
      </c>
      <c r="E64" s="75" t="s">
        <v>17</v>
      </c>
      <c r="F64" s="202" t="s">
        <v>43</v>
      </c>
      <c r="G64" s="132" t="s">
        <v>17</v>
      </c>
      <c r="H64" s="132" t="s">
        <v>29</v>
      </c>
      <c r="I64" s="133" t="s">
        <v>41</v>
      </c>
      <c r="J64" s="81" t="s">
        <v>42</v>
      </c>
      <c r="K64" s="134" t="s">
        <v>10</v>
      </c>
      <c r="L64" s="136" t="s">
        <v>18</v>
      </c>
      <c r="M64" s="138" t="s">
        <v>8</v>
      </c>
      <c r="N64" s="163" t="str">
        <f>"1. Sub6 NR Band : " &amp; VALUE(RIGHT(A7, LEN(A7)-1))</f>
        <v>1. Sub6 NR Band : 78</v>
      </c>
      <c r="O64" s="164"/>
      <c r="P64" s="164"/>
    </row>
    <row r="65" spans="1:16" ht="21.95" customHeight="1" x14ac:dyDescent="0.3">
      <c r="A65" s="72"/>
      <c r="B65" s="129"/>
      <c r="C65" s="129"/>
      <c r="D65" s="129"/>
      <c r="E65" s="76"/>
      <c r="F65" s="84"/>
      <c r="G65" s="78"/>
      <c r="H65" s="78"/>
      <c r="I65" s="80"/>
      <c r="J65" s="82"/>
      <c r="K65" s="135"/>
      <c r="L65" s="137"/>
      <c r="M65" s="139"/>
      <c r="N65" s="152" t="str">
        <f>"2. SCS : " &amp; H7 &amp; " kHz"</f>
        <v>2. SCS : 30 kHz</v>
      </c>
      <c r="O65" s="153"/>
      <c r="P65" s="153"/>
    </row>
    <row r="66" spans="1:16" ht="21.95" customHeight="1" x14ac:dyDescent="0.3">
      <c r="A66" s="199">
        <f>J7*2</f>
        <v>0</v>
      </c>
      <c r="B66" s="4"/>
      <c r="C66" s="4"/>
      <c r="D66" s="4"/>
      <c r="E66" s="16" t="s">
        <v>1</v>
      </c>
      <c r="F66" s="201">
        <f>$A$24</f>
        <v>0</v>
      </c>
      <c r="G66" s="99" t="str">
        <f>IF(COUNT(B66:D66)=0, "H", IF(COUNT(B67:D67)=0, "V", IF(MAX(B66:D66) &gt;= MAX(B67:D67), "V", "H")))</f>
        <v>H</v>
      </c>
      <c r="H66" s="101">
        <f>MAX(B66:D67)</f>
        <v>0</v>
      </c>
      <c r="I66" s="103">
        <v>-30</v>
      </c>
      <c r="J66" s="143" t="str">
        <f>IF(OR(I66-H66&gt;10,I66-H66=-30),"No Peak Found",I66-H66)</f>
        <v>No Peak Found</v>
      </c>
      <c r="K66" s="144" t="s">
        <v>9</v>
      </c>
      <c r="L66" s="117" t="str">
        <f>IF(OR(COUNTIF(B66:D67, "-")+COUNTBLANK(B66:D67)=6), "Pass", IF(H66 &gt; I66, "Fail", IF(J66 &lt; 3, "Margin 부족", "Pass")))</f>
        <v>Pass</v>
      </c>
      <c r="M66" s="146" t="s">
        <v>11</v>
      </c>
      <c r="N66" s="152" t="str">
        <f>"3. The test was performed the " &amp; I7 &amp; " antenna."</f>
        <v>3. The test was performed the  antenna.</v>
      </c>
      <c r="O66" s="153"/>
      <c r="P66" s="153"/>
    </row>
    <row r="67" spans="1:16" ht="21.95" customHeight="1" x14ac:dyDescent="0.3">
      <c r="A67" s="200"/>
      <c r="B67" s="4"/>
      <c r="C67" s="4"/>
      <c r="D67" s="4"/>
      <c r="E67" s="16" t="s">
        <v>0</v>
      </c>
      <c r="F67" s="201"/>
      <c r="G67" s="99"/>
      <c r="H67" s="101"/>
      <c r="I67" s="103"/>
      <c r="J67" s="143"/>
      <c r="K67" s="144"/>
      <c r="L67" s="145"/>
      <c r="M67" s="147"/>
      <c r="N67" s="152" t="str">
        <f>"4. " &amp; LEFT(A51, FIND(" ", A51 &amp; " ") - 1) &amp; " Mode Test."</f>
        <v>4. SA Mode Test.</v>
      </c>
      <c r="O67" s="154"/>
      <c r="P67" s="154"/>
    </row>
    <row r="68" spans="1:16" ht="21.95" customHeight="1" x14ac:dyDescent="0.3">
      <c r="A68" s="199">
        <f>J7*3</f>
        <v>0</v>
      </c>
      <c r="B68" s="4"/>
      <c r="C68" s="4"/>
      <c r="D68" s="4"/>
      <c r="E68" s="16" t="s">
        <v>1</v>
      </c>
      <c r="F68" s="203">
        <f>$A$26</f>
        <v>0</v>
      </c>
      <c r="G68" s="99" t="str">
        <f>IF(COUNT(B68:D68)=0, "H", IF(COUNT(B69:D69)=0, "V", IF(MAX(B68:D68) &gt;= MAX(B69:D69), "V", "H")))</f>
        <v>H</v>
      </c>
      <c r="H68" s="101">
        <f>MAX(B68:D69)</f>
        <v>0</v>
      </c>
      <c r="I68" s="149">
        <v>-30</v>
      </c>
      <c r="J68" s="143" t="str">
        <f t="shared" ref="J68" si="3">IF(OR(I68-H68&gt;10,I68-H68=-30),"No Peak Found",I68-H68)</f>
        <v>No Peak Found</v>
      </c>
      <c r="K68" s="150" t="s">
        <v>9</v>
      </c>
      <c r="L68" s="117" t="str">
        <f>IF(OR(COUNTIF(B68:D69, "-")+COUNTBLANK(B68:D69)=6), "Pass", IF(H68 &gt; I68, "Fail", IF(J68 &lt; 3, "Margin 부족", "Pass")))</f>
        <v>Pass</v>
      </c>
      <c r="M68" s="146" t="s">
        <v>11</v>
      </c>
    </row>
    <row r="69" spans="1:16" ht="21.95" customHeight="1" x14ac:dyDescent="0.3">
      <c r="A69" s="200"/>
      <c r="B69" s="4"/>
      <c r="C69" s="4"/>
      <c r="D69" s="4"/>
      <c r="E69" s="16" t="s">
        <v>0</v>
      </c>
      <c r="F69" s="203"/>
      <c r="G69" s="99"/>
      <c r="H69" s="101"/>
      <c r="I69" s="149"/>
      <c r="J69" s="143"/>
      <c r="K69" s="150"/>
      <c r="L69" s="145"/>
      <c r="M69" s="147"/>
    </row>
    <row r="70" spans="1:16" ht="21.95" customHeight="1" x14ac:dyDescent="0.3">
      <c r="A70" s="199">
        <f>J7*4</f>
        <v>0</v>
      </c>
      <c r="B70" s="4"/>
      <c r="C70" s="4"/>
      <c r="D70" s="4"/>
      <c r="E70" s="16" t="s">
        <v>1</v>
      </c>
      <c r="F70" s="201">
        <f>$A$28</f>
        <v>0</v>
      </c>
      <c r="G70" s="99" t="str">
        <f>IF(COUNT(B70:D70)=0, "H", IF(COUNT(B71:D71)=0, "V", IF(MAX(B70:D70) &gt;= MAX(B71:D71), "V", "H")))</f>
        <v>H</v>
      </c>
      <c r="H70" s="101">
        <f>MAX(B70:D71)</f>
        <v>0</v>
      </c>
      <c r="I70" s="149">
        <v>-30</v>
      </c>
      <c r="J70" s="143" t="str">
        <f t="shared" ref="J70" si="4">IF(OR(I70-H70&gt;10,I70-H70=-30),"No Peak Found",I70-H70)</f>
        <v>No Peak Found</v>
      </c>
      <c r="K70" s="171" t="s">
        <v>9</v>
      </c>
      <c r="L70" s="117" t="str">
        <f>IF(OR(COUNTIF(B70:D71, "-")+COUNTBLANK(B70:D71)=6), "Pass", IF(H70 &gt; I70, "Fail", IF(J70 &lt; 3, "Margin 부족", "Pass")))</f>
        <v>Pass</v>
      </c>
      <c r="M70" s="146" t="s">
        <v>11</v>
      </c>
    </row>
    <row r="71" spans="1:16" ht="21.95" customHeight="1" x14ac:dyDescent="0.3">
      <c r="A71" s="200"/>
      <c r="B71" s="4"/>
      <c r="C71" s="4"/>
      <c r="D71" s="4"/>
      <c r="E71" s="16" t="s">
        <v>0</v>
      </c>
      <c r="F71" s="201"/>
      <c r="G71" s="99"/>
      <c r="H71" s="101"/>
      <c r="I71" s="149"/>
      <c r="J71" s="143"/>
      <c r="K71" s="171"/>
      <c r="L71" s="145"/>
      <c r="M71" s="147"/>
    </row>
    <row r="72" spans="1:16" ht="21.95" customHeight="1" x14ac:dyDescent="0.3">
      <c r="A72" s="199">
        <f>J7*5</f>
        <v>0</v>
      </c>
      <c r="B72" s="4"/>
      <c r="C72" s="4"/>
      <c r="D72" s="4"/>
      <c r="E72" s="16" t="s">
        <v>1</v>
      </c>
      <c r="F72" s="203">
        <f>$A$30</f>
        <v>0</v>
      </c>
      <c r="G72" s="99" t="str">
        <f>IF(COUNT(B72:D72)=0, "H", IF(COUNT(B73:D73)=0, "V", IF(MAX(B72:D72) &gt;= MAX(B73:D73), "V", "H")))</f>
        <v>H</v>
      </c>
      <c r="H72" s="101">
        <f>MAX(B72:D73)</f>
        <v>0</v>
      </c>
      <c r="I72" s="149">
        <v>-30</v>
      </c>
      <c r="J72" s="143" t="str">
        <f t="shared" ref="J72" si="5">IF(OR(I72-H72&gt;10,I72-H72=-30),"No Peak Found",I72-H72)</f>
        <v>No Peak Found</v>
      </c>
      <c r="K72" s="171" t="s">
        <v>9</v>
      </c>
      <c r="L72" s="117" t="str">
        <f>IF(OR(COUNTIF(B72:D73, "-")+COUNTBLANK(B72:D73)=6), "Pass", IF(H72 &gt; I72, "Fail", IF(J72 &lt; 3, "Margin 부족", "Pass")))</f>
        <v>Pass</v>
      </c>
      <c r="M72" s="146" t="s">
        <v>11</v>
      </c>
    </row>
    <row r="73" spans="1:16" ht="21.95" customHeight="1" thickBot="1" x14ac:dyDescent="0.35">
      <c r="A73" s="204"/>
      <c r="B73" s="17"/>
      <c r="C73" s="17"/>
      <c r="D73" s="17"/>
      <c r="E73" s="18" t="s">
        <v>28</v>
      </c>
      <c r="F73" s="205"/>
      <c r="G73" s="167"/>
      <c r="H73" s="168"/>
      <c r="I73" s="169"/>
      <c r="J73" s="170"/>
      <c r="K73" s="172"/>
      <c r="L73" s="173"/>
      <c r="M73" s="151"/>
    </row>
    <row r="74" spans="1:16" ht="21.95" customHeight="1" x14ac:dyDescent="0.3">
      <c r="A74" s="155" t="s">
        <v>45</v>
      </c>
      <c r="B74" s="156"/>
      <c r="C74" s="156"/>
      <c r="D74" s="156"/>
      <c r="E74" s="157"/>
      <c r="F74" s="159" t="s">
        <v>51</v>
      </c>
      <c r="G74" s="159"/>
      <c r="H74" s="159"/>
      <c r="I74" s="159"/>
      <c r="J74" s="159"/>
      <c r="K74" s="159"/>
      <c r="L74" s="159"/>
      <c r="M74" s="160"/>
    </row>
    <row r="75" spans="1:16" ht="21.95" customHeight="1" x14ac:dyDescent="0.3">
      <c r="A75" s="158"/>
      <c r="B75" s="156"/>
      <c r="C75" s="156"/>
      <c r="D75" s="156"/>
      <c r="E75" s="157"/>
      <c r="F75" s="161"/>
      <c r="G75" s="161"/>
      <c r="H75" s="161"/>
      <c r="I75" s="161"/>
      <c r="J75" s="161"/>
      <c r="K75" s="161"/>
      <c r="L75" s="161"/>
      <c r="M75" s="162"/>
    </row>
    <row r="76" spans="1:16" ht="21.95" customHeight="1" thickBot="1" x14ac:dyDescent="0.35">
      <c r="A76" s="174" t="s">
        <v>6</v>
      </c>
      <c r="B76" s="175"/>
      <c r="C76" s="175"/>
      <c r="D76" s="175"/>
      <c r="E76" s="176"/>
      <c r="F76" s="177" t="s">
        <v>6</v>
      </c>
      <c r="G76" s="177"/>
      <c r="H76" s="177"/>
      <c r="I76" s="177"/>
      <c r="J76" s="177"/>
      <c r="K76" s="177"/>
      <c r="L76" s="177"/>
      <c r="M76" s="177"/>
    </row>
    <row r="77" spans="1:16" ht="21.95" customHeight="1" thickTop="1" x14ac:dyDescent="0.3">
      <c r="A77" s="71" t="s">
        <v>43</v>
      </c>
      <c r="B77" s="73" t="s">
        <v>14</v>
      </c>
      <c r="C77" s="73" t="s">
        <v>15</v>
      </c>
      <c r="D77" s="73" t="s">
        <v>16</v>
      </c>
      <c r="E77" s="75" t="s">
        <v>17</v>
      </c>
      <c r="F77" s="71" t="s">
        <v>43</v>
      </c>
      <c r="G77" s="77" t="s">
        <v>17</v>
      </c>
      <c r="H77" s="77" t="s">
        <v>29</v>
      </c>
      <c r="I77" s="79" t="s">
        <v>41</v>
      </c>
      <c r="J77" s="81" t="s">
        <v>42</v>
      </c>
      <c r="K77" s="187" t="s">
        <v>10</v>
      </c>
      <c r="L77" s="85" t="s">
        <v>18</v>
      </c>
      <c r="M77" s="87" t="s">
        <v>8</v>
      </c>
    </row>
    <row r="78" spans="1:16" ht="21.95" customHeight="1" x14ac:dyDescent="0.3">
      <c r="A78" s="72"/>
      <c r="B78" s="74"/>
      <c r="C78" s="74"/>
      <c r="D78" s="74"/>
      <c r="E78" s="76"/>
      <c r="F78" s="72"/>
      <c r="G78" s="78"/>
      <c r="H78" s="78"/>
      <c r="I78" s="80"/>
      <c r="J78" s="82"/>
      <c r="K78" s="188"/>
      <c r="L78" s="86"/>
      <c r="M78" s="88"/>
    </row>
    <row r="79" spans="1:16" ht="21.95" customHeight="1" x14ac:dyDescent="0.3">
      <c r="A79" s="189" t="s">
        <v>26</v>
      </c>
      <c r="B79" s="3"/>
      <c r="C79" s="3"/>
      <c r="D79" s="3"/>
      <c r="E79" s="11" t="s">
        <v>27</v>
      </c>
      <c r="F79" s="191" t="str">
        <f>A79</f>
        <v>Spurious</v>
      </c>
      <c r="G79" s="193" t="str">
        <f>IF(COUNT(B79:D79)=0, "H", IF(COUNT(B80:D80)=0, "V", IF(MAX(B79:D79) &gt;= MAX(B80:D80), "V", "H")))</f>
        <v>H</v>
      </c>
      <c r="H79" s="195">
        <f>MAX(B79:D80)</f>
        <v>0</v>
      </c>
      <c r="I79" s="197">
        <v>-57</v>
      </c>
      <c r="J79" s="178" t="str">
        <f>IF(OR(I79-H79&gt;10,I79-H79=-57),"No Peak Found",I79-H79)</f>
        <v>No Peak Found</v>
      </c>
      <c r="K79" s="180" t="s">
        <v>9</v>
      </c>
      <c r="L79" s="91" t="str">
        <f>IF(OR(COUNTIF(B79:D80, "-")+COUNTBLANK(B79:D80)=6), "Pass", IF(H79 &gt; I79, "Fail", IF(J79 &lt; 3, "Margin 부족", "Pass")))</f>
        <v>Pass</v>
      </c>
      <c r="M79" s="182" t="s">
        <v>12</v>
      </c>
    </row>
    <row r="80" spans="1:16" ht="21.95" customHeight="1" thickBot="1" x14ac:dyDescent="0.35">
      <c r="A80" s="190"/>
      <c r="B80" s="7"/>
      <c r="C80" s="7"/>
      <c r="D80" s="7"/>
      <c r="E80" s="12" t="s">
        <v>28</v>
      </c>
      <c r="F80" s="192"/>
      <c r="G80" s="194"/>
      <c r="H80" s="196"/>
      <c r="I80" s="198"/>
      <c r="J80" s="179"/>
      <c r="K80" s="181"/>
      <c r="L80" s="92"/>
      <c r="M80" s="183"/>
    </row>
    <row r="81" spans="1:13" ht="21.95" customHeight="1" thickBot="1" x14ac:dyDescent="0.35">
      <c r="A81" s="184" t="s">
        <v>5</v>
      </c>
      <c r="B81" s="185"/>
      <c r="C81" s="185"/>
      <c r="D81" s="185"/>
      <c r="E81" s="186"/>
      <c r="F81" s="70" t="s">
        <v>5</v>
      </c>
      <c r="G81" s="70"/>
      <c r="H81" s="70"/>
      <c r="I81" s="70"/>
      <c r="J81" s="70"/>
      <c r="K81" s="70"/>
      <c r="L81" s="70"/>
      <c r="M81" s="70"/>
    </row>
    <row r="82" spans="1:13" ht="21.95" customHeight="1" thickTop="1" x14ac:dyDescent="0.3">
      <c r="A82" s="71" t="s">
        <v>43</v>
      </c>
      <c r="B82" s="73" t="s">
        <v>14</v>
      </c>
      <c r="C82" s="73" t="s">
        <v>15</v>
      </c>
      <c r="D82" s="73" t="s">
        <v>16</v>
      </c>
      <c r="E82" s="75" t="s">
        <v>17</v>
      </c>
      <c r="F82" s="71" t="s">
        <v>43</v>
      </c>
      <c r="G82" s="77" t="s">
        <v>17</v>
      </c>
      <c r="H82" s="77" t="s">
        <v>29</v>
      </c>
      <c r="I82" s="79" t="s">
        <v>41</v>
      </c>
      <c r="J82" s="81" t="s">
        <v>42</v>
      </c>
      <c r="K82" s="187" t="s">
        <v>10</v>
      </c>
      <c r="L82" s="85" t="s">
        <v>18</v>
      </c>
      <c r="M82" s="87" t="s">
        <v>8</v>
      </c>
    </row>
    <row r="83" spans="1:13" ht="21.95" customHeight="1" x14ac:dyDescent="0.3">
      <c r="A83" s="72"/>
      <c r="B83" s="74"/>
      <c r="C83" s="74"/>
      <c r="D83" s="74"/>
      <c r="E83" s="76"/>
      <c r="F83" s="72"/>
      <c r="G83" s="78"/>
      <c r="H83" s="78"/>
      <c r="I83" s="80"/>
      <c r="J83" s="82"/>
      <c r="K83" s="188"/>
      <c r="L83" s="86"/>
      <c r="M83" s="88"/>
    </row>
    <row r="84" spans="1:13" ht="21.95" customHeight="1" x14ac:dyDescent="0.3">
      <c r="A84" s="189" t="s">
        <v>26</v>
      </c>
      <c r="B84" s="3"/>
      <c r="C84" s="3"/>
      <c r="D84" s="3"/>
      <c r="E84" s="11" t="s">
        <v>27</v>
      </c>
      <c r="F84" s="191" t="str">
        <f>A84</f>
        <v>Spurious</v>
      </c>
      <c r="G84" s="193" t="str">
        <f>IF(COUNT(B84:D84)=0, "H", IF(COUNT(B85:D85)=0, "V", IF(MAX(B84:D84) &gt;= MAX(B85:D85), "V", "H")))</f>
        <v>H</v>
      </c>
      <c r="H84" s="195">
        <f>MAX(B84:D85)</f>
        <v>0</v>
      </c>
      <c r="I84" s="197">
        <v>-47</v>
      </c>
      <c r="J84" s="178" t="str">
        <f>IF(OR(I84-H84&gt;10,I84-H84=-47),"No Peak Found",I84-H84)</f>
        <v>No Peak Found</v>
      </c>
      <c r="K84" s="180" t="s">
        <v>9</v>
      </c>
      <c r="L84" s="91" t="str">
        <f>IF(OR(COUNTIF(B84:D85, "-")+COUNTBLANK(B84:D85)=6), "Pass", IF(H84 &gt; I84, "Fail", IF(J84 &lt; 3, "Margin 부족", "Pass")))</f>
        <v>Pass</v>
      </c>
      <c r="M84" s="182" t="s">
        <v>12</v>
      </c>
    </row>
    <row r="85" spans="1:13" ht="21.95" customHeight="1" thickBot="1" x14ac:dyDescent="0.35">
      <c r="A85" s="190"/>
      <c r="B85" s="7"/>
      <c r="C85" s="7"/>
      <c r="D85" s="7"/>
      <c r="E85" s="12" t="s">
        <v>28</v>
      </c>
      <c r="F85" s="192"/>
      <c r="G85" s="194"/>
      <c r="H85" s="196"/>
      <c r="I85" s="198"/>
      <c r="J85" s="179"/>
      <c r="K85" s="181"/>
      <c r="L85" s="92"/>
      <c r="M85" s="183"/>
    </row>
  </sheetData>
  <mergeCells count="357">
    <mergeCell ref="J84:J85"/>
    <mergeCell ref="K84:K85"/>
    <mergeCell ref="L84:L85"/>
    <mergeCell ref="M84:M85"/>
    <mergeCell ref="I82:I83"/>
    <mergeCell ref="J82:J83"/>
    <mergeCell ref="K82:K83"/>
    <mergeCell ref="L82:L83"/>
    <mergeCell ref="M82:M83"/>
    <mergeCell ref="A84:A85"/>
    <mergeCell ref="F84:F85"/>
    <mergeCell ref="G84:G85"/>
    <mergeCell ref="H84:H85"/>
    <mergeCell ref="I84:I85"/>
    <mergeCell ref="A81:E81"/>
    <mergeCell ref="F81:M81"/>
    <mergeCell ref="A82:A83"/>
    <mergeCell ref="B82:B83"/>
    <mergeCell ref="C82:C83"/>
    <mergeCell ref="D82:D83"/>
    <mergeCell ref="E82:E83"/>
    <mergeCell ref="F82:F83"/>
    <mergeCell ref="G82:G83"/>
    <mergeCell ref="H82:H83"/>
    <mergeCell ref="M77:M78"/>
    <mergeCell ref="A79:A80"/>
    <mergeCell ref="F79:F80"/>
    <mergeCell ref="G79:G80"/>
    <mergeCell ref="H79:H80"/>
    <mergeCell ref="I79:I80"/>
    <mergeCell ref="J79:J80"/>
    <mergeCell ref="K79:K80"/>
    <mergeCell ref="L79:L80"/>
    <mergeCell ref="M79:M80"/>
    <mergeCell ref="G77:G78"/>
    <mergeCell ref="H77:H78"/>
    <mergeCell ref="I77:I78"/>
    <mergeCell ref="J77:J78"/>
    <mergeCell ref="K77:K78"/>
    <mergeCell ref="L77:L78"/>
    <mergeCell ref="A77:A78"/>
    <mergeCell ref="B77:B78"/>
    <mergeCell ref="C77:C78"/>
    <mergeCell ref="D77:D78"/>
    <mergeCell ref="E77:E78"/>
    <mergeCell ref="F77:F78"/>
    <mergeCell ref="L72:L73"/>
    <mergeCell ref="M72:M73"/>
    <mergeCell ref="A74:E75"/>
    <mergeCell ref="F74:M75"/>
    <mergeCell ref="A76:E76"/>
    <mergeCell ref="F76:M76"/>
    <mergeCell ref="K70:K71"/>
    <mergeCell ref="L70:L71"/>
    <mergeCell ref="M70:M71"/>
    <mergeCell ref="A72:A73"/>
    <mergeCell ref="F72:F73"/>
    <mergeCell ref="G72:G73"/>
    <mergeCell ref="H72:H73"/>
    <mergeCell ref="I72:I73"/>
    <mergeCell ref="J72:J73"/>
    <mergeCell ref="K72:K73"/>
    <mergeCell ref="J68:J69"/>
    <mergeCell ref="K68:K69"/>
    <mergeCell ref="L68:L69"/>
    <mergeCell ref="M68:M69"/>
    <mergeCell ref="A70:A71"/>
    <mergeCell ref="F70:F71"/>
    <mergeCell ref="G70:G71"/>
    <mergeCell ref="H70:H71"/>
    <mergeCell ref="I70:I71"/>
    <mergeCell ref="J70:J71"/>
    <mergeCell ref="K66:K67"/>
    <mergeCell ref="L66:L67"/>
    <mergeCell ref="M66:M67"/>
    <mergeCell ref="N66:P66"/>
    <mergeCell ref="N67:P67"/>
    <mergeCell ref="A68:A69"/>
    <mergeCell ref="F68:F69"/>
    <mergeCell ref="G68:G69"/>
    <mergeCell ref="H68:H69"/>
    <mergeCell ref="I68:I69"/>
    <mergeCell ref="L64:L65"/>
    <mergeCell ref="M64:M65"/>
    <mergeCell ref="N64:P64"/>
    <mergeCell ref="N65:P65"/>
    <mergeCell ref="A66:A67"/>
    <mergeCell ref="F66:F67"/>
    <mergeCell ref="G66:G67"/>
    <mergeCell ref="H66:H67"/>
    <mergeCell ref="I66:I67"/>
    <mergeCell ref="J66:J67"/>
    <mergeCell ref="F64:F65"/>
    <mergeCell ref="G64:G65"/>
    <mergeCell ref="H64:H65"/>
    <mergeCell ref="I64:I65"/>
    <mergeCell ref="J64:J65"/>
    <mergeCell ref="K64:K65"/>
    <mergeCell ref="K61:K62"/>
    <mergeCell ref="L61:L62"/>
    <mergeCell ref="M61:M62"/>
    <mergeCell ref="A63:E63"/>
    <mergeCell ref="F63:M63"/>
    <mergeCell ref="A64:A65"/>
    <mergeCell ref="B64:B65"/>
    <mergeCell ref="C64:C65"/>
    <mergeCell ref="D64:D65"/>
    <mergeCell ref="E64:E65"/>
    <mergeCell ref="A61:A62"/>
    <mergeCell ref="F61:F62"/>
    <mergeCell ref="G61:G62"/>
    <mergeCell ref="H61:H62"/>
    <mergeCell ref="I61:I62"/>
    <mergeCell ref="J61:J62"/>
    <mergeCell ref="H59:H60"/>
    <mergeCell ref="I59:I60"/>
    <mergeCell ref="J59:J60"/>
    <mergeCell ref="K59:K60"/>
    <mergeCell ref="L59:L60"/>
    <mergeCell ref="M59:M60"/>
    <mergeCell ref="M56:M57"/>
    <mergeCell ref="A58:E58"/>
    <mergeCell ref="F58:M58"/>
    <mergeCell ref="A59:A60"/>
    <mergeCell ref="B59:B60"/>
    <mergeCell ref="C59:C60"/>
    <mergeCell ref="D59:D60"/>
    <mergeCell ref="E59:E60"/>
    <mergeCell ref="F59:F60"/>
    <mergeCell ref="G59:G60"/>
    <mergeCell ref="L54:L55"/>
    <mergeCell ref="M54:M55"/>
    <mergeCell ref="A56:A57"/>
    <mergeCell ref="F56:F57"/>
    <mergeCell ref="G56:G57"/>
    <mergeCell ref="H56:H57"/>
    <mergeCell ref="I56:I57"/>
    <mergeCell ref="J56:J57"/>
    <mergeCell ref="K56:K57"/>
    <mergeCell ref="L56:L57"/>
    <mergeCell ref="F54:F55"/>
    <mergeCell ref="G54:G55"/>
    <mergeCell ref="H54:H55"/>
    <mergeCell ref="I54:I55"/>
    <mergeCell ref="J54:J55"/>
    <mergeCell ref="K54:K55"/>
    <mergeCell ref="J49:M50"/>
    <mergeCell ref="A51:E52"/>
    <mergeCell ref="F51:M52"/>
    <mergeCell ref="A53:E53"/>
    <mergeCell ref="F53:M53"/>
    <mergeCell ref="A54:A55"/>
    <mergeCell ref="B54:B55"/>
    <mergeCell ref="C54:C55"/>
    <mergeCell ref="D54:D55"/>
    <mergeCell ref="E54:E55"/>
    <mergeCell ref="J47:M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45:M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M40:M41"/>
    <mergeCell ref="A42:A43"/>
    <mergeCell ref="F42:F43"/>
    <mergeCell ref="G42:G43"/>
    <mergeCell ref="H42:H43"/>
    <mergeCell ref="I42:I43"/>
    <mergeCell ref="J42:J43"/>
    <mergeCell ref="K42:K43"/>
    <mergeCell ref="L42:L43"/>
    <mergeCell ref="M42:M43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J37:J38"/>
    <mergeCell ref="K37:K38"/>
    <mergeCell ref="L37:L38"/>
    <mergeCell ref="M37:M38"/>
    <mergeCell ref="A39:E39"/>
    <mergeCell ref="F39:M39"/>
    <mergeCell ref="I35:I36"/>
    <mergeCell ref="J35:J36"/>
    <mergeCell ref="K35:K36"/>
    <mergeCell ref="L35:L36"/>
    <mergeCell ref="M35:M36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K30:K31"/>
    <mergeCell ref="L30:L31"/>
    <mergeCell ref="M30:M31"/>
    <mergeCell ref="N30:P30"/>
    <mergeCell ref="N31:P31"/>
    <mergeCell ref="A32:E33"/>
    <mergeCell ref="F32:M33"/>
    <mergeCell ref="L28:L29"/>
    <mergeCell ref="M28:M29"/>
    <mergeCell ref="N28:P28"/>
    <mergeCell ref="N29:P29"/>
    <mergeCell ref="A30:A31"/>
    <mergeCell ref="F30:F31"/>
    <mergeCell ref="G30:G31"/>
    <mergeCell ref="H30:H31"/>
    <mergeCell ref="I30:I31"/>
    <mergeCell ref="J30:J31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J24:J25"/>
    <mergeCell ref="K24:K25"/>
    <mergeCell ref="L24:L25"/>
    <mergeCell ref="M24:M25"/>
    <mergeCell ref="A26:A27"/>
    <mergeCell ref="F26:F27"/>
    <mergeCell ref="G26:G27"/>
    <mergeCell ref="H26:H27"/>
    <mergeCell ref="I26:I27"/>
    <mergeCell ref="J26:J27"/>
    <mergeCell ref="I22:I23"/>
    <mergeCell ref="J22:J23"/>
    <mergeCell ref="K22:K23"/>
    <mergeCell ref="L22:L23"/>
    <mergeCell ref="M22:M23"/>
    <mergeCell ref="A24:A25"/>
    <mergeCell ref="F24:F25"/>
    <mergeCell ref="G24:G25"/>
    <mergeCell ref="H24:H25"/>
    <mergeCell ref="I24:I25"/>
    <mergeCell ref="A21:E21"/>
    <mergeCell ref="F21:M21"/>
    <mergeCell ref="A22:A23"/>
    <mergeCell ref="B22:B23"/>
    <mergeCell ref="C22:C23"/>
    <mergeCell ref="D22:D23"/>
    <mergeCell ref="E22:E23"/>
    <mergeCell ref="F22:F23"/>
    <mergeCell ref="G22:G23"/>
    <mergeCell ref="H22:H23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</mergeCells>
  <phoneticPr fontId="1" type="noConversion"/>
  <conditionalFormatting sqref="J14 J19">
    <cfRule type="cellIs" dxfId="97" priority="49" operator="lessThan">
      <formula>10</formula>
    </cfRule>
  </conditionalFormatting>
  <conditionalFormatting sqref="J14">
    <cfRule type="cellIs" dxfId="96" priority="48" operator="equal">
      <formula>-36</formula>
    </cfRule>
  </conditionalFormatting>
  <conditionalFormatting sqref="L14 L19">
    <cfRule type="cellIs" dxfId="95" priority="47" operator="equal">
      <formula>"Fail"</formula>
    </cfRule>
  </conditionalFormatting>
  <conditionalFormatting sqref="J24">
    <cfRule type="cellIs" dxfId="94" priority="45" operator="equal">
      <formula>-30</formula>
    </cfRule>
    <cfRule type="cellIs" dxfId="93" priority="46" operator="lessThan">
      <formula>10</formula>
    </cfRule>
  </conditionalFormatting>
  <conditionalFormatting sqref="L24">
    <cfRule type="cellIs" dxfId="92" priority="44" operator="equal">
      <formula>"Fail"</formula>
    </cfRule>
  </conditionalFormatting>
  <conditionalFormatting sqref="L26">
    <cfRule type="cellIs" dxfId="91" priority="43" operator="equal">
      <formula>"Fail"</formula>
    </cfRule>
  </conditionalFormatting>
  <conditionalFormatting sqref="L28">
    <cfRule type="cellIs" dxfId="90" priority="42" operator="equal">
      <formula>"Fail"</formula>
    </cfRule>
  </conditionalFormatting>
  <conditionalFormatting sqref="L30">
    <cfRule type="cellIs" dxfId="89" priority="41" operator="equal">
      <formula>"Fail"</formula>
    </cfRule>
  </conditionalFormatting>
  <conditionalFormatting sqref="V33">
    <cfRule type="cellIs" dxfId="88" priority="40" operator="equal">
      <formula>"Fail"</formula>
    </cfRule>
  </conditionalFormatting>
  <conditionalFormatting sqref="L14:L15 L19:L20 L24:L31">
    <cfRule type="cellIs" dxfId="87" priority="39" operator="equal">
      <formula>"Pass"</formula>
    </cfRule>
  </conditionalFormatting>
  <conditionalFormatting sqref="L37">
    <cfRule type="cellIs" dxfId="86" priority="38" operator="equal">
      <formula>"Fail"</formula>
    </cfRule>
  </conditionalFormatting>
  <conditionalFormatting sqref="L37:L38">
    <cfRule type="cellIs" dxfId="85" priority="37" operator="equal">
      <formula>"Pass"</formula>
    </cfRule>
  </conditionalFormatting>
  <conditionalFormatting sqref="L42">
    <cfRule type="cellIs" dxfId="84" priority="36" operator="equal">
      <formula>"Fail"</formula>
    </cfRule>
  </conditionalFormatting>
  <conditionalFormatting sqref="L42:L43">
    <cfRule type="cellIs" dxfId="83" priority="35" operator="equal">
      <formula>"Pass"</formula>
    </cfRule>
  </conditionalFormatting>
  <conditionalFormatting sqref="B14:D15">
    <cfRule type="top10" dxfId="82" priority="34" rank="1"/>
  </conditionalFormatting>
  <conditionalFormatting sqref="B19:D20">
    <cfRule type="top10" dxfId="81" priority="33" rank="1"/>
  </conditionalFormatting>
  <conditionalFormatting sqref="B24:D25">
    <cfRule type="top10" dxfId="80" priority="32" rank="1"/>
  </conditionalFormatting>
  <conditionalFormatting sqref="B26:D27">
    <cfRule type="top10" dxfId="79" priority="31" rank="1"/>
  </conditionalFormatting>
  <conditionalFormatting sqref="B28:D29">
    <cfRule type="top10" dxfId="78" priority="30" rank="1"/>
  </conditionalFormatting>
  <conditionalFormatting sqref="B30:D31">
    <cfRule type="top10" dxfId="77" priority="29" rank="1"/>
  </conditionalFormatting>
  <conditionalFormatting sqref="J26 J28 J30">
    <cfRule type="cellIs" dxfId="76" priority="27" operator="equal">
      <formula>-30</formula>
    </cfRule>
    <cfRule type="cellIs" dxfId="75" priority="28" operator="lessThan">
      <formula>10</formula>
    </cfRule>
  </conditionalFormatting>
  <conditionalFormatting sqref="J56 J61">
    <cfRule type="cellIs" dxfId="74" priority="26" operator="lessThan">
      <formula>10</formula>
    </cfRule>
  </conditionalFormatting>
  <conditionalFormatting sqref="J56">
    <cfRule type="cellIs" dxfId="73" priority="25" operator="equal">
      <formula>-36</formula>
    </cfRule>
  </conditionalFormatting>
  <conditionalFormatting sqref="L56 L61">
    <cfRule type="cellIs" dxfId="72" priority="24" operator="equal">
      <formula>"Fail"</formula>
    </cfRule>
  </conditionalFormatting>
  <conditionalFormatting sqref="J66">
    <cfRule type="cellIs" dxfId="71" priority="22" operator="equal">
      <formula>-30</formula>
    </cfRule>
    <cfRule type="cellIs" dxfId="70" priority="23" operator="lessThan">
      <formula>10</formula>
    </cfRule>
  </conditionalFormatting>
  <conditionalFormatting sqref="L66">
    <cfRule type="cellIs" dxfId="69" priority="21" operator="equal">
      <formula>"Fail"</formula>
    </cfRule>
  </conditionalFormatting>
  <conditionalFormatting sqref="L68">
    <cfRule type="cellIs" dxfId="68" priority="20" operator="equal">
      <formula>"Fail"</formula>
    </cfRule>
  </conditionalFormatting>
  <conditionalFormatting sqref="L70">
    <cfRule type="cellIs" dxfId="67" priority="19" operator="equal">
      <formula>"Fail"</formula>
    </cfRule>
  </conditionalFormatting>
  <conditionalFormatting sqref="L72">
    <cfRule type="cellIs" dxfId="66" priority="18" operator="equal">
      <formula>"Fail"</formula>
    </cfRule>
  </conditionalFormatting>
  <conditionalFormatting sqref="L56:L57 L61:L62 L66:L73">
    <cfRule type="cellIs" dxfId="65" priority="17" operator="equal">
      <formula>"Pass"</formula>
    </cfRule>
  </conditionalFormatting>
  <conditionalFormatting sqref="L79">
    <cfRule type="cellIs" dxfId="64" priority="16" operator="equal">
      <formula>"Fail"</formula>
    </cfRule>
  </conditionalFormatting>
  <conditionalFormatting sqref="L79:L80">
    <cfRule type="cellIs" dxfId="63" priority="15" operator="equal">
      <formula>"Pass"</formula>
    </cfRule>
  </conditionalFormatting>
  <conditionalFormatting sqref="L84">
    <cfRule type="cellIs" dxfId="62" priority="14" operator="equal">
      <formula>"Fail"</formula>
    </cfRule>
  </conditionalFormatting>
  <conditionalFormatting sqref="L84:L85">
    <cfRule type="cellIs" dxfId="61" priority="13" operator="equal">
      <formula>"Pass"</formula>
    </cfRule>
  </conditionalFormatting>
  <conditionalFormatting sqref="B66:D73">
    <cfRule type="top10" dxfId="60" priority="12" rank="1"/>
  </conditionalFormatting>
  <conditionalFormatting sqref="B68:D69">
    <cfRule type="top10" dxfId="59" priority="11" rank="1"/>
  </conditionalFormatting>
  <conditionalFormatting sqref="B70:D71">
    <cfRule type="top10" dxfId="58" priority="10" rank="1"/>
  </conditionalFormatting>
  <conditionalFormatting sqref="B72:D73">
    <cfRule type="top10" dxfId="57" priority="9" rank="1"/>
  </conditionalFormatting>
  <conditionalFormatting sqref="J68 J70 J72">
    <cfRule type="cellIs" dxfId="56" priority="7" operator="equal">
      <formula>-30</formula>
    </cfRule>
    <cfRule type="cellIs" dxfId="55" priority="8" operator="lessThan">
      <formula>10</formula>
    </cfRule>
  </conditionalFormatting>
  <conditionalFormatting sqref="B56:D57">
    <cfRule type="top10" dxfId="54" priority="6" rank="1"/>
  </conditionalFormatting>
  <conditionalFormatting sqref="B61:D62">
    <cfRule type="top10" dxfId="53" priority="5" rank="1"/>
  </conditionalFormatting>
  <conditionalFormatting sqref="B37:D38">
    <cfRule type="top10" dxfId="52" priority="4" rank="1"/>
  </conditionalFormatting>
  <conditionalFormatting sqref="B42:D43">
    <cfRule type="top10" dxfId="51" priority="3" rank="1"/>
  </conditionalFormatting>
  <conditionalFormatting sqref="B79:D80">
    <cfRule type="top10" dxfId="50" priority="2" rank="1"/>
  </conditionalFormatting>
  <conditionalFormatting sqref="B84:D85">
    <cfRule type="top10" dxfId="49" priority="1" rank="1"/>
  </conditionalFormatting>
  <dataValidations count="1">
    <dataValidation type="list" allowBlank="1" showInputMessage="1" showErrorMessage="1" sqref="M14 M19 M30 M24 M26 M28 M37:M38 M56 M61 M72 M66 M68 M70 M84:M85 M79:M80 M42:M43" xr:uid="{E051B310-1DA1-4285-B224-0DB21E511E8D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84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8DA46-FE4C-48AE-8AD5-F8B38CE20756}">
  <dimension ref="A1:P85"/>
  <sheetViews>
    <sheetView view="pageBreakPreview" zoomScale="85" zoomScaleNormal="100" zoomScaleSheetLayoutView="85" workbookViewId="0">
      <selection activeCell="F51" sqref="F51:M52"/>
    </sheetView>
  </sheetViews>
  <sheetFormatPr defaultRowHeight="16.5" outlineLevelCol="1" x14ac:dyDescent="0.3"/>
  <cols>
    <col min="1" max="11" width="12.625" style="6" customWidth="1"/>
    <col min="12" max="13" width="12.625" style="6" hidden="1" customWidth="1" outlineLevel="1"/>
    <col min="14" max="14" width="12.625" style="6" customWidth="1" collapsed="1"/>
    <col min="15" max="16" width="12.625" style="6" customWidth="1"/>
    <col min="17" max="22" width="12.625" customWidth="1"/>
  </cols>
  <sheetData>
    <row r="1" spans="1:14" ht="20.100000000000001" customHeight="1" x14ac:dyDescent="0.3">
      <c r="A1" s="5" t="s">
        <v>13</v>
      </c>
      <c r="B1" s="20"/>
      <c r="C1" s="21"/>
      <c r="D1" s="22"/>
      <c r="E1" s="23" t="s">
        <v>34</v>
      </c>
      <c r="F1" s="24"/>
      <c r="G1" s="20" t="s">
        <v>35</v>
      </c>
      <c r="H1" s="21"/>
      <c r="I1" s="21"/>
      <c r="J1" s="21"/>
      <c r="K1" s="21"/>
      <c r="L1" s="21"/>
      <c r="M1" s="22"/>
    </row>
    <row r="2" spans="1:14" ht="20.100000000000001" customHeight="1" thickBot="1" x14ac:dyDescent="0.35">
      <c r="A2" s="15" t="s">
        <v>54</v>
      </c>
      <c r="B2" s="27"/>
      <c r="C2" s="28"/>
      <c r="D2" s="29"/>
      <c r="E2" s="25"/>
      <c r="F2" s="26"/>
      <c r="G2" s="27" t="s">
        <v>36</v>
      </c>
      <c r="H2" s="28"/>
      <c r="I2" s="28"/>
      <c r="J2" s="28"/>
      <c r="K2" s="28"/>
      <c r="L2" s="28"/>
      <c r="M2" s="29"/>
    </row>
    <row r="3" spans="1:14" ht="24.95" customHeight="1" x14ac:dyDescent="0.3">
      <c r="A3" s="30" t="s">
        <v>38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2"/>
    </row>
    <row r="4" spans="1:14" ht="24.95" customHeight="1" thickBot="1" x14ac:dyDescent="0.35">
      <c r="A4" s="33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5"/>
    </row>
    <row r="5" spans="1:14" ht="24.95" customHeight="1" x14ac:dyDescent="0.3">
      <c r="A5" s="52" t="s">
        <v>19</v>
      </c>
      <c r="B5" s="66" t="s">
        <v>47</v>
      </c>
      <c r="C5" s="52" t="s">
        <v>22</v>
      </c>
      <c r="D5" s="52" t="s">
        <v>23</v>
      </c>
      <c r="E5" s="52" t="s">
        <v>20</v>
      </c>
      <c r="F5" s="52" t="s">
        <v>21</v>
      </c>
      <c r="G5" s="52" t="s">
        <v>24</v>
      </c>
      <c r="H5" s="54" t="s">
        <v>39</v>
      </c>
      <c r="I5" s="55" t="s">
        <v>37</v>
      </c>
      <c r="J5" s="56" t="s">
        <v>40</v>
      </c>
      <c r="K5" s="57"/>
      <c r="L5" s="57"/>
      <c r="M5" s="58"/>
    </row>
    <row r="6" spans="1:14" ht="20.100000000000001" customHeight="1" x14ac:dyDescent="0.3">
      <c r="A6" s="53"/>
      <c r="B6" s="53"/>
      <c r="C6" s="53"/>
      <c r="D6" s="53"/>
      <c r="E6" s="53"/>
      <c r="F6" s="53"/>
      <c r="G6" s="53"/>
      <c r="H6" s="52"/>
      <c r="I6" s="52"/>
      <c r="J6" s="59"/>
      <c r="K6" s="60"/>
      <c r="L6" s="60"/>
      <c r="M6" s="61"/>
    </row>
    <row r="7" spans="1:14" ht="20.100000000000001" customHeight="1" x14ac:dyDescent="0.3">
      <c r="A7" s="62" t="s">
        <v>65</v>
      </c>
      <c r="B7" s="36"/>
      <c r="C7" s="36"/>
      <c r="D7" s="36"/>
      <c r="E7" s="36"/>
      <c r="F7" s="36"/>
      <c r="G7" s="36"/>
      <c r="H7" s="37">
        <v>30</v>
      </c>
      <c r="I7" s="37"/>
      <c r="J7" s="39"/>
      <c r="K7" s="40"/>
      <c r="L7" s="40"/>
      <c r="M7" s="41"/>
    </row>
    <row r="8" spans="1:14" ht="20.100000000000001" customHeight="1" thickBot="1" x14ac:dyDescent="0.35">
      <c r="A8" s="63"/>
      <c r="B8" s="37"/>
      <c r="C8" s="37"/>
      <c r="D8" s="37"/>
      <c r="E8" s="37"/>
      <c r="F8" s="37"/>
      <c r="G8" s="37"/>
      <c r="H8" s="38"/>
      <c r="I8" s="38"/>
      <c r="J8" s="42"/>
      <c r="K8" s="43"/>
      <c r="L8" s="43"/>
      <c r="M8" s="44"/>
    </row>
    <row r="9" spans="1:14" ht="24.95" customHeight="1" x14ac:dyDescent="0.3">
      <c r="A9" s="45" t="s">
        <v>25</v>
      </c>
      <c r="B9" s="46"/>
      <c r="C9" s="46"/>
      <c r="D9" s="46"/>
      <c r="E9" s="47"/>
      <c r="F9" s="51" t="s">
        <v>48</v>
      </c>
      <c r="G9" s="46"/>
      <c r="H9" s="46"/>
      <c r="I9" s="46"/>
      <c r="J9" s="46"/>
      <c r="K9" s="46"/>
      <c r="L9" s="46"/>
      <c r="M9" s="47"/>
    </row>
    <row r="10" spans="1:14" ht="24.95" customHeight="1" x14ac:dyDescent="0.3">
      <c r="A10" s="48"/>
      <c r="B10" s="49"/>
      <c r="C10" s="49"/>
      <c r="D10" s="49"/>
      <c r="E10" s="50"/>
      <c r="F10" s="49"/>
      <c r="G10" s="49"/>
      <c r="H10" s="49"/>
      <c r="I10" s="49"/>
      <c r="J10" s="49"/>
      <c r="K10" s="49"/>
      <c r="L10" s="49"/>
      <c r="M10" s="50"/>
      <c r="N10" s="19"/>
    </row>
    <row r="11" spans="1:14" ht="21.95" customHeight="1" thickBot="1" x14ac:dyDescent="0.35">
      <c r="A11" s="67" t="s">
        <v>7</v>
      </c>
      <c r="B11" s="68"/>
      <c r="C11" s="68"/>
      <c r="D11" s="68"/>
      <c r="E11" s="69"/>
      <c r="F11" s="68" t="s">
        <v>7</v>
      </c>
      <c r="G11" s="68"/>
      <c r="H11" s="68"/>
      <c r="I11" s="68"/>
      <c r="J11" s="70"/>
      <c r="K11" s="68"/>
      <c r="L11" s="68"/>
      <c r="M11" s="69"/>
    </row>
    <row r="12" spans="1:14" ht="21.95" customHeight="1" thickTop="1" x14ac:dyDescent="0.3">
      <c r="A12" s="71" t="s">
        <v>43</v>
      </c>
      <c r="B12" s="73" t="s">
        <v>4</v>
      </c>
      <c r="C12" s="73" t="s">
        <v>15</v>
      </c>
      <c r="D12" s="73" t="s">
        <v>3</v>
      </c>
      <c r="E12" s="75" t="s">
        <v>2</v>
      </c>
      <c r="F12" s="71" t="s">
        <v>43</v>
      </c>
      <c r="G12" s="77" t="s">
        <v>17</v>
      </c>
      <c r="H12" s="77" t="s">
        <v>29</v>
      </c>
      <c r="I12" s="79" t="s">
        <v>41</v>
      </c>
      <c r="J12" s="81" t="s">
        <v>42</v>
      </c>
      <c r="K12" s="83" t="s">
        <v>10</v>
      </c>
      <c r="L12" s="85" t="s">
        <v>18</v>
      </c>
      <c r="M12" s="87" t="s">
        <v>8</v>
      </c>
    </row>
    <row r="13" spans="1:14" ht="21.95" customHeight="1" x14ac:dyDescent="0.3">
      <c r="A13" s="72"/>
      <c r="B13" s="74"/>
      <c r="C13" s="74"/>
      <c r="D13" s="74"/>
      <c r="E13" s="76"/>
      <c r="F13" s="72"/>
      <c r="G13" s="78"/>
      <c r="H13" s="78"/>
      <c r="I13" s="80"/>
      <c r="J13" s="82"/>
      <c r="K13" s="84"/>
      <c r="L13" s="86"/>
      <c r="M13" s="88"/>
    </row>
    <row r="14" spans="1:14" ht="21.95" customHeight="1" x14ac:dyDescent="0.3">
      <c r="A14" s="95" t="s">
        <v>26</v>
      </c>
      <c r="B14" s="3"/>
      <c r="C14" s="3"/>
      <c r="D14" s="3"/>
      <c r="E14" s="11" t="s">
        <v>27</v>
      </c>
      <c r="F14" s="97" t="str">
        <f>A14</f>
        <v>Spurious</v>
      </c>
      <c r="G14" s="99" t="str">
        <f>IF(COUNT(B14:D14)=0, "H", IF(COUNT(B15:D15)=0, "V", IF(MAX(B14:D14) &gt;= MAX(B15:D15), "V", "H")))</f>
        <v>H</v>
      </c>
      <c r="H14" s="101">
        <f>MAX(B14:D15)</f>
        <v>0</v>
      </c>
      <c r="I14" s="103">
        <v>-36</v>
      </c>
      <c r="J14" s="105" t="str">
        <f>IF(OR(I14-H14&gt;10,I14-H14=-36),"No Peak Found",I14-H14)</f>
        <v>No Peak Found</v>
      </c>
      <c r="K14" s="89" t="s">
        <v>9</v>
      </c>
      <c r="L14" s="91" t="str">
        <f>IF(OR(COUNTIF(B14:D15, "-")+COUNTBLANK(B14:D15)=6), "Pass", IF(H14 &gt; I14, "Fail", IF(J14 &lt; 3, "Margin 부족", "Pass")))</f>
        <v>Pass</v>
      </c>
      <c r="M14" s="93" t="s">
        <v>12</v>
      </c>
    </row>
    <row r="15" spans="1:14" ht="21.95" customHeight="1" thickBot="1" x14ac:dyDescent="0.35">
      <c r="A15" s="96"/>
      <c r="B15" s="7"/>
      <c r="C15" s="7"/>
      <c r="D15" s="7"/>
      <c r="E15" s="12" t="s">
        <v>28</v>
      </c>
      <c r="F15" s="98"/>
      <c r="G15" s="100"/>
      <c r="H15" s="102"/>
      <c r="I15" s="104"/>
      <c r="J15" s="106"/>
      <c r="K15" s="90"/>
      <c r="L15" s="92"/>
      <c r="M15" s="94"/>
    </row>
    <row r="16" spans="1:14" ht="21.95" customHeight="1" thickBot="1" x14ac:dyDescent="0.35">
      <c r="A16" s="107" t="s">
        <v>57</v>
      </c>
      <c r="B16" s="108"/>
      <c r="C16" s="108"/>
      <c r="D16" s="108"/>
      <c r="E16" s="109"/>
      <c r="F16" s="108" t="s">
        <v>56</v>
      </c>
      <c r="G16" s="108"/>
      <c r="H16" s="108"/>
      <c r="I16" s="108"/>
      <c r="J16" s="70"/>
      <c r="K16" s="108"/>
      <c r="L16" s="108"/>
      <c r="M16" s="108"/>
    </row>
    <row r="17" spans="1:16" ht="21.95" customHeight="1" thickTop="1" x14ac:dyDescent="0.3">
      <c r="A17" s="71" t="s">
        <v>43</v>
      </c>
      <c r="B17" s="73" t="s">
        <v>14</v>
      </c>
      <c r="C17" s="73" t="s">
        <v>15</v>
      </c>
      <c r="D17" s="73" t="s">
        <v>16</v>
      </c>
      <c r="E17" s="75" t="s">
        <v>17</v>
      </c>
      <c r="F17" s="71" t="s">
        <v>43</v>
      </c>
      <c r="G17" s="77" t="s">
        <v>17</v>
      </c>
      <c r="H17" s="77" t="s">
        <v>29</v>
      </c>
      <c r="I17" s="79" t="s">
        <v>41</v>
      </c>
      <c r="J17" s="81" t="s">
        <v>42</v>
      </c>
      <c r="K17" s="83" t="s">
        <v>10</v>
      </c>
      <c r="L17" s="85" t="s">
        <v>18</v>
      </c>
      <c r="M17" s="87" t="s">
        <v>8</v>
      </c>
    </row>
    <row r="18" spans="1:16" ht="21.95" customHeight="1" x14ac:dyDescent="0.3">
      <c r="A18" s="72"/>
      <c r="B18" s="74"/>
      <c r="C18" s="74"/>
      <c r="D18" s="74"/>
      <c r="E18" s="76"/>
      <c r="F18" s="72"/>
      <c r="G18" s="78"/>
      <c r="H18" s="78"/>
      <c r="I18" s="80"/>
      <c r="J18" s="82"/>
      <c r="K18" s="84"/>
      <c r="L18" s="86"/>
      <c r="M18" s="88"/>
    </row>
    <row r="19" spans="1:16" ht="21.95" customHeight="1" x14ac:dyDescent="0.3">
      <c r="A19" s="110" t="s">
        <v>26</v>
      </c>
      <c r="B19" s="3"/>
      <c r="C19" s="3"/>
      <c r="D19" s="3"/>
      <c r="E19" s="11" t="s">
        <v>27</v>
      </c>
      <c r="F19" s="112" t="str">
        <f>$A$19</f>
        <v>Spurious</v>
      </c>
      <c r="G19" s="99" t="str">
        <f>IF(COUNT(B19:D19)=0, "H", IF(COUNT(B20:D20)=0, "V", IF(MAX(B19:D19) &gt;= MAX(B20:D20), "V", "H")))</f>
        <v>H</v>
      </c>
      <c r="H19" s="101">
        <f>MAX(B19:D20)</f>
        <v>0</v>
      </c>
      <c r="I19" s="103">
        <v>-30</v>
      </c>
      <c r="J19" s="105" t="str">
        <f>IF(OR(I19-H19&gt;10,I19-H19=-30),"No Peak Found",I19-H19)</f>
        <v>No Peak Found</v>
      </c>
      <c r="K19" s="89" t="s">
        <v>9</v>
      </c>
      <c r="L19" s="91" t="str">
        <f>IF(OR(COUNTIF(B19:D20, "-")+COUNTBLANK(B19:D20)=6), "Pass", IF(H19 &gt; I19, "Fail", IF(J19 &lt; 3, "Margin 부족", "Pass")))</f>
        <v>Pass</v>
      </c>
      <c r="M19" s="93" t="s">
        <v>12</v>
      </c>
    </row>
    <row r="20" spans="1:16" ht="21.95" customHeight="1" thickBot="1" x14ac:dyDescent="0.35">
      <c r="A20" s="111"/>
      <c r="B20" s="7"/>
      <c r="C20" s="7"/>
      <c r="D20" s="7"/>
      <c r="E20" s="12" t="s">
        <v>28</v>
      </c>
      <c r="F20" s="113"/>
      <c r="G20" s="114"/>
      <c r="H20" s="115"/>
      <c r="I20" s="116"/>
      <c r="J20" s="106"/>
      <c r="K20" s="117"/>
      <c r="L20" s="118"/>
      <c r="M20" s="119"/>
    </row>
    <row r="21" spans="1:16" ht="21.95" customHeight="1" thickBot="1" x14ac:dyDescent="0.35">
      <c r="A21" s="120" t="s">
        <v>58</v>
      </c>
      <c r="B21" s="121"/>
      <c r="C21" s="121"/>
      <c r="D21" s="121"/>
      <c r="E21" s="121"/>
      <c r="F21" s="122" t="s">
        <v>58</v>
      </c>
      <c r="G21" s="123"/>
      <c r="H21" s="123"/>
      <c r="I21" s="123"/>
      <c r="J21" s="70"/>
      <c r="K21" s="123"/>
      <c r="L21" s="124"/>
      <c r="M21" s="125"/>
    </row>
    <row r="22" spans="1:16" ht="21.95" customHeight="1" thickTop="1" x14ac:dyDescent="0.3">
      <c r="A22" s="126" t="s">
        <v>43</v>
      </c>
      <c r="B22" s="128" t="s">
        <v>14</v>
      </c>
      <c r="C22" s="128" t="s">
        <v>15</v>
      </c>
      <c r="D22" s="128" t="s">
        <v>16</v>
      </c>
      <c r="E22" s="130" t="s">
        <v>17</v>
      </c>
      <c r="F22" s="126" t="s">
        <v>43</v>
      </c>
      <c r="G22" s="132" t="s">
        <v>17</v>
      </c>
      <c r="H22" s="132" t="s">
        <v>29</v>
      </c>
      <c r="I22" s="133" t="s">
        <v>41</v>
      </c>
      <c r="J22" s="81" t="s">
        <v>42</v>
      </c>
      <c r="K22" s="134" t="s">
        <v>10</v>
      </c>
      <c r="L22" s="136" t="s">
        <v>18</v>
      </c>
      <c r="M22" s="138" t="s">
        <v>8</v>
      </c>
    </row>
    <row r="23" spans="1:16" ht="21.75" customHeight="1" x14ac:dyDescent="0.3">
      <c r="A23" s="127"/>
      <c r="B23" s="129"/>
      <c r="C23" s="129"/>
      <c r="D23" s="129"/>
      <c r="E23" s="131"/>
      <c r="F23" s="127"/>
      <c r="G23" s="78"/>
      <c r="H23" s="78"/>
      <c r="I23" s="80"/>
      <c r="J23" s="82"/>
      <c r="K23" s="135"/>
      <c r="L23" s="137"/>
      <c r="M23" s="139"/>
    </row>
    <row r="24" spans="1:16" ht="21.95" customHeight="1" x14ac:dyDescent="0.3">
      <c r="A24" s="140">
        <f>J7*2</f>
        <v>0</v>
      </c>
      <c r="B24" s="4"/>
      <c r="C24" s="4"/>
      <c r="D24" s="4"/>
      <c r="E24" s="13" t="s">
        <v>1</v>
      </c>
      <c r="F24" s="142">
        <f>$A$24</f>
        <v>0</v>
      </c>
      <c r="G24" s="99" t="str">
        <f>IF(COUNT(B24:D24)=0, "H", IF(COUNT(B25:D25)=0, "V", IF(MAX(B24:D24) &gt;= MAX(B25:D25), "V", "H")))</f>
        <v>H</v>
      </c>
      <c r="H24" s="101">
        <f>MAX(B24:D25)</f>
        <v>0</v>
      </c>
      <c r="I24" s="103">
        <v>-30</v>
      </c>
      <c r="J24" s="143" t="str">
        <f>IF(OR(I24-H24&gt;10,I24-H24=-30),"No Peak Found",I24-H24)</f>
        <v>No Peak Found</v>
      </c>
      <c r="K24" s="144" t="s">
        <v>9</v>
      </c>
      <c r="L24" s="117" t="str">
        <f>IF(OR(COUNTIF(B24:D25, "-")+COUNTBLANK(B24:D25)=6), "Pass", IF(H24 &gt; I24, "Fail", IF(J24 &lt; 3, "Margin 부족", "Pass")))</f>
        <v>Pass</v>
      </c>
      <c r="M24" s="146" t="s">
        <v>11</v>
      </c>
    </row>
    <row r="25" spans="1:16" ht="21.95" customHeight="1" x14ac:dyDescent="0.3">
      <c r="A25" s="141"/>
      <c r="B25" s="4"/>
      <c r="C25" s="4"/>
      <c r="D25" s="4"/>
      <c r="E25" s="13" t="s">
        <v>0</v>
      </c>
      <c r="F25" s="142"/>
      <c r="G25" s="99"/>
      <c r="H25" s="101"/>
      <c r="I25" s="103"/>
      <c r="J25" s="143"/>
      <c r="K25" s="144"/>
      <c r="L25" s="145"/>
      <c r="M25" s="147"/>
    </row>
    <row r="26" spans="1:16" ht="21.95" customHeight="1" x14ac:dyDescent="0.3">
      <c r="A26" s="140">
        <f>J7*3</f>
        <v>0</v>
      </c>
      <c r="B26" s="4"/>
      <c r="C26" s="4"/>
      <c r="D26" s="4"/>
      <c r="E26" s="13" t="s">
        <v>1</v>
      </c>
      <c r="F26" s="148">
        <f>$A$26</f>
        <v>0</v>
      </c>
      <c r="G26" s="99" t="str">
        <f>IF(COUNT(B26:D26)=0, "H", IF(COUNT(B27:D27)=0, "V", IF(MAX(B26:D26) &gt;= MAX(B27:D27), "V", "H")))</f>
        <v>H</v>
      </c>
      <c r="H26" s="101">
        <f>MAX(B26:D27)</f>
        <v>0</v>
      </c>
      <c r="I26" s="149">
        <v>-30</v>
      </c>
      <c r="J26" s="143" t="str">
        <f t="shared" ref="J26" si="0">IF(OR(I26-H26&gt;10,I26-H26=-30),"No Peak Found",I26-H26)</f>
        <v>No Peak Found</v>
      </c>
      <c r="K26" s="150" t="s">
        <v>9</v>
      </c>
      <c r="L26" s="117" t="str">
        <f>IF(OR(COUNTIF(B26:D27, "-")+COUNTBLANK(B26:D27)=6), "Pass", IF(H26 &gt; I26, "Fail", IF(J26 &lt; 3, "Margin 부족", "Pass")))</f>
        <v>Pass</v>
      </c>
      <c r="M26" s="146" t="s">
        <v>11</v>
      </c>
    </row>
    <row r="27" spans="1:16" ht="21.95" customHeight="1" x14ac:dyDescent="0.3">
      <c r="A27" s="141"/>
      <c r="B27" s="4"/>
      <c r="C27" s="4"/>
      <c r="D27" s="4"/>
      <c r="E27" s="13" t="s">
        <v>0</v>
      </c>
      <c r="F27" s="148"/>
      <c r="G27" s="99"/>
      <c r="H27" s="101"/>
      <c r="I27" s="149"/>
      <c r="J27" s="143"/>
      <c r="K27" s="150"/>
      <c r="L27" s="145"/>
      <c r="M27" s="147"/>
      <c r="N27" s="8" t="s">
        <v>8</v>
      </c>
    </row>
    <row r="28" spans="1:16" ht="21.95" customHeight="1" x14ac:dyDescent="0.3">
      <c r="A28" s="140">
        <f>J7*4</f>
        <v>0</v>
      </c>
      <c r="B28" s="4"/>
      <c r="C28" s="4"/>
      <c r="D28" s="4"/>
      <c r="E28" s="13" t="s">
        <v>1</v>
      </c>
      <c r="F28" s="142">
        <f>$A$28</f>
        <v>0</v>
      </c>
      <c r="G28" s="99" t="str">
        <f>IF(COUNT(B28:D28)=0, "H", IF(COUNT(B29:D29)=0, "V", IF(MAX(B28:D28) &gt;= MAX(B29:D29), "V", "H")))</f>
        <v>H</v>
      </c>
      <c r="H28" s="101">
        <f>MAX(B28:D29)</f>
        <v>0</v>
      </c>
      <c r="I28" s="149">
        <v>-30</v>
      </c>
      <c r="J28" s="143" t="str">
        <f t="shared" ref="J28" si="1">IF(OR(I28-H28&gt;10,I28-H28=-30),"No Peak Found",I28-H28)</f>
        <v>No Peak Found</v>
      </c>
      <c r="K28" s="171" t="s">
        <v>9</v>
      </c>
      <c r="L28" s="117" t="str">
        <f>IF(OR(COUNTIF(B28:D29, "-")+COUNTBLANK(B28:D29)=6), "Pass", IF(H28 &gt; I28, "Fail", IF(J28 &lt; 3, "Margin 부족", "Pass")))</f>
        <v>Pass</v>
      </c>
      <c r="M28" s="146" t="s">
        <v>11</v>
      </c>
      <c r="N28" s="163" t="str">
        <f>"1. Sub6 NR Band : " &amp; VALUE(RIGHT(A7, LEN(A7)-1))</f>
        <v>1. Sub6 NR Band : 79</v>
      </c>
      <c r="O28" s="164"/>
      <c r="P28" s="164"/>
    </row>
    <row r="29" spans="1:16" ht="21.95" customHeight="1" x14ac:dyDescent="0.3">
      <c r="A29" s="141"/>
      <c r="B29" s="4"/>
      <c r="C29" s="4"/>
      <c r="D29" s="4"/>
      <c r="E29" s="13" t="s">
        <v>0</v>
      </c>
      <c r="F29" s="142"/>
      <c r="G29" s="99"/>
      <c r="H29" s="101"/>
      <c r="I29" s="149"/>
      <c r="J29" s="143"/>
      <c r="K29" s="171"/>
      <c r="L29" s="145"/>
      <c r="M29" s="147"/>
      <c r="N29" s="152" t="str">
        <f>"2. SCS : " &amp; H7 &amp; " kHz"</f>
        <v>2. SCS : 30 kHz</v>
      </c>
      <c r="O29" s="153"/>
      <c r="P29" s="153"/>
    </row>
    <row r="30" spans="1:16" ht="21.95" customHeight="1" x14ac:dyDescent="0.3">
      <c r="A30" s="140">
        <f>J7*5</f>
        <v>0</v>
      </c>
      <c r="B30" s="4"/>
      <c r="C30" s="4"/>
      <c r="D30" s="4"/>
      <c r="E30" s="13" t="s">
        <v>1</v>
      </c>
      <c r="F30" s="148">
        <f>$A$30</f>
        <v>0</v>
      </c>
      <c r="G30" s="99" t="str">
        <f>IF(COUNT(B30:D30)=0, "H", IF(COUNT(B31:D31)=0, "V", IF(MAX(B30:D30) &gt;= MAX(B31:D31), "V", "H")))</f>
        <v>H</v>
      </c>
      <c r="H30" s="101">
        <f>MAX(B30:D31)</f>
        <v>0</v>
      </c>
      <c r="I30" s="149">
        <v>-30</v>
      </c>
      <c r="J30" s="143" t="str">
        <f t="shared" ref="J30" si="2">IF(OR(I30-H30&gt;10,I30-H30=-30),"No Peak Found",I30-H30)</f>
        <v>No Peak Found</v>
      </c>
      <c r="K30" s="171" t="s">
        <v>9</v>
      </c>
      <c r="L30" s="117" t="str">
        <f>IF(OR(COUNTIF(B30:D31, "-")+COUNTBLANK(B30:D31)=6), "Pass", IF(H30 &gt; I30, "Fail", IF(J30 &lt; 3, "Margin 부족", "Pass")))</f>
        <v>Pass</v>
      </c>
      <c r="M30" s="146" t="s">
        <v>11</v>
      </c>
      <c r="N30" s="152" t="str">
        <f>"3. The test was performed the " &amp; I7 &amp; " antenna."</f>
        <v>3. The test was performed the  antenna.</v>
      </c>
      <c r="O30" s="153"/>
      <c r="P30" s="153"/>
    </row>
    <row r="31" spans="1:16" ht="21.95" customHeight="1" thickBot="1" x14ac:dyDescent="0.35">
      <c r="A31" s="165"/>
      <c r="B31" s="9"/>
      <c r="C31" s="9"/>
      <c r="D31" s="9"/>
      <c r="E31" s="14" t="s">
        <v>28</v>
      </c>
      <c r="F31" s="166"/>
      <c r="G31" s="167"/>
      <c r="H31" s="168"/>
      <c r="I31" s="169"/>
      <c r="J31" s="170"/>
      <c r="K31" s="172"/>
      <c r="L31" s="173"/>
      <c r="M31" s="151"/>
      <c r="N31" s="152" t="str">
        <f>"4. " &amp; LEFT(A9, FIND(" ", A9 &amp; " ") - 1) &amp; " Mode Test."</f>
        <v>4. NSA Mode Test.</v>
      </c>
      <c r="O31" s="154"/>
      <c r="P31" s="154"/>
    </row>
    <row r="32" spans="1:16" ht="24.95" customHeight="1" x14ac:dyDescent="0.3">
      <c r="A32" s="155" t="s">
        <v>32</v>
      </c>
      <c r="B32" s="156"/>
      <c r="C32" s="156"/>
      <c r="D32" s="156"/>
      <c r="E32" s="157"/>
      <c r="F32" s="159" t="s">
        <v>49</v>
      </c>
      <c r="G32" s="159"/>
      <c r="H32" s="159"/>
      <c r="I32" s="159"/>
      <c r="J32" s="159"/>
      <c r="K32" s="159"/>
      <c r="L32" s="159"/>
      <c r="M32" s="160"/>
    </row>
    <row r="33" spans="1:16" ht="24.95" customHeight="1" x14ac:dyDescent="0.3">
      <c r="A33" s="158"/>
      <c r="B33" s="156"/>
      <c r="C33" s="156"/>
      <c r="D33" s="156"/>
      <c r="E33" s="157"/>
      <c r="F33" s="161"/>
      <c r="G33" s="161"/>
      <c r="H33" s="161"/>
      <c r="I33" s="161"/>
      <c r="J33" s="161"/>
      <c r="K33" s="161"/>
      <c r="L33" s="161"/>
      <c r="M33" s="162"/>
    </row>
    <row r="34" spans="1:16" ht="21.95" customHeight="1" thickBot="1" x14ac:dyDescent="0.35">
      <c r="A34" s="174" t="s">
        <v>6</v>
      </c>
      <c r="B34" s="175"/>
      <c r="C34" s="175"/>
      <c r="D34" s="175"/>
      <c r="E34" s="176"/>
      <c r="F34" s="177" t="s">
        <v>6</v>
      </c>
      <c r="G34" s="177"/>
      <c r="H34" s="177"/>
      <c r="I34" s="177"/>
      <c r="J34" s="177"/>
      <c r="K34" s="177"/>
      <c r="L34" s="177"/>
      <c r="M34" s="177"/>
    </row>
    <row r="35" spans="1:16" ht="21.95" customHeight="1" thickTop="1" x14ac:dyDescent="0.3">
      <c r="A35" s="71" t="s">
        <v>43</v>
      </c>
      <c r="B35" s="73" t="s">
        <v>14</v>
      </c>
      <c r="C35" s="73" t="s">
        <v>15</v>
      </c>
      <c r="D35" s="73" t="s">
        <v>16</v>
      </c>
      <c r="E35" s="75" t="s">
        <v>17</v>
      </c>
      <c r="F35" s="71" t="s">
        <v>43</v>
      </c>
      <c r="G35" s="77" t="s">
        <v>17</v>
      </c>
      <c r="H35" s="77" t="s">
        <v>29</v>
      </c>
      <c r="I35" s="79" t="s">
        <v>41</v>
      </c>
      <c r="J35" s="81" t="s">
        <v>42</v>
      </c>
      <c r="K35" s="187" t="s">
        <v>10</v>
      </c>
      <c r="L35" s="85" t="s">
        <v>18</v>
      </c>
      <c r="M35" s="87" t="s">
        <v>8</v>
      </c>
    </row>
    <row r="36" spans="1:16" ht="21.95" customHeight="1" x14ac:dyDescent="0.3">
      <c r="A36" s="72"/>
      <c r="B36" s="74"/>
      <c r="C36" s="74"/>
      <c r="D36" s="74"/>
      <c r="E36" s="76"/>
      <c r="F36" s="72"/>
      <c r="G36" s="78"/>
      <c r="H36" s="78"/>
      <c r="I36" s="80"/>
      <c r="J36" s="82"/>
      <c r="K36" s="188"/>
      <c r="L36" s="86"/>
      <c r="M36" s="88"/>
    </row>
    <row r="37" spans="1:16" ht="21.95" customHeight="1" x14ac:dyDescent="0.3">
      <c r="A37" s="189" t="s">
        <v>26</v>
      </c>
      <c r="B37" s="3"/>
      <c r="C37" s="3"/>
      <c r="D37" s="3"/>
      <c r="E37" s="11" t="s">
        <v>27</v>
      </c>
      <c r="F37" s="191" t="str">
        <f>A37</f>
        <v>Spurious</v>
      </c>
      <c r="G37" s="193" t="str">
        <f>IF(COUNT(B37:D37)=0, "H", IF(COUNT(B38:D38)=0, "V", IF(MAX(B37:D37) &gt;= MAX(B38:D38), "V", "H")))</f>
        <v>H</v>
      </c>
      <c r="H37" s="195">
        <f>MAX(B37:D38)</f>
        <v>0</v>
      </c>
      <c r="I37" s="197">
        <v>-57</v>
      </c>
      <c r="J37" s="178" t="str">
        <f>IF(OR(I37-H37&gt;10,I37-H37=-57),"No Peak Found",I37-H37)</f>
        <v>No Peak Found</v>
      </c>
      <c r="K37" s="180" t="s">
        <v>9</v>
      </c>
      <c r="L37" s="91" t="str">
        <f>IF(OR(COUNTIF(B37:D38, "-")+COUNTBLANK(B37:D38)=6), "Pass", IF(H37 &gt; I37, "Fail", IF(J37 &lt; 3, "Margin 부족", "Pass")))</f>
        <v>Pass</v>
      </c>
      <c r="M37" s="182" t="s">
        <v>12</v>
      </c>
      <c r="P37" s="19"/>
    </row>
    <row r="38" spans="1:16" ht="21.95" customHeight="1" thickBot="1" x14ac:dyDescent="0.35">
      <c r="A38" s="190"/>
      <c r="B38" s="7"/>
      <c r="C38" s="7"/>
      <c r="D38" s="7"/>
      <c r="E38" s="12" t="s">
        <v>28</v>
      </c>
      <c r="F38" s="192"/>
      <c r="G38" s="194"/>
      <c r="H38" s="196"/>
      <c r="I38" s="198"/>
      <c r="J38" s="179"/>
      <c r="K38" s="181"/>
      <c r="L38" s="92"/>
      <c r="M38" s="183"/>
    </row>
    <row r="39" spans="1:16" ht="21.95" customHeight="1" thickBot="1" x14ac:dyDescent="0.35">
      <c r="A39" s="184" t="s">
        <v>5</v>
      </c>
      <c r="B39" s="185"/>
      <c r="C39" s="185"/>
      <c r="D39" s="185"/>
      <c r="E39" s="186"/>
      <c r="F39" s="70" t="s">
        <v>5</v>
      </c>
      <c r="G39" s="70"/>
      <c r="H39" s="70"/>
      <c r="I39" s="70"/>
      <c r="J39" s="70"/>
      <c r="K39" s="70"/>
      <c r="L39" s="70"/>
      <c r="M39" s="70"/>
    </row>
    <row r="40" spans="1:16" ht="21.95" customHeight="1" thickTop="1" x14ac:dyDescent="0.3">
      <c r="A40" s="71" t="s">
        <v>43</v>
      </c>
      <c r="B40" s="73" t="s">
        <v>14</v>
      </c>
      <c r="C40" s="73" t="s">
        <v>15</v>
      </c>
      <c r="D40" s="73" t="s">
        <v>16</v>
      </c>
      <c r="E40" s="75" t="s">
        <v>17</v>
      </c>
      <c r="F40" s="71" t="s">
        <v>43</v>
      </c>
      <c r="G40" s="77" t="s">
        <v>17</v>
      </c>
      <c r="H40" s="77" t="s">
        <v>29</v>
      </c>
      <c r="I40" s="79" t="s">
        <v>41</v>
      </c>
      <c r="J40" s="81" t="s">
        <v>42</v>
      </c>
      <c r="K40" s="187" t="s">
        <v>10</v>
      </c>
      <c r="L40" s="85" t="s">
        <v>18</v>
      </c>
      <c r="M40" s="87" t="s">
        <v>8</v>
      </c>
    </row>
    <row r="41" spans="1:16" ht="21.95" customHeight="1" x14ac:dyDescent="0.3">
      <c r="A41" s="72"/>
      <c r="B41" s="74"/>
      <c r="C41" s="74"/>
      <c r="D41" s="74"/>
      <c r="E41" s="76"/>
      <c r="F41" s="72"/>
      <c r="G41" s="78"/>
      <c r="H41" s="78"/>
      <c r="I41" s="80"/>
      <c r="J41" s="82"/>
      <c r="K41" s="188"/>
      <c r="L41" s="86"/>
      <c r="M41" s="88"/>
    </row>
    <row r="42" spans="1:16" ht="21.95" customHeight="1" x14ac:dyDescent="0.3">
      <c r="A42" s="189" t="s">
        <v>26</v>
      </c>
      <c r="B42" s="3"/>
      <c r="C42" s="3"/>
      <c r="D42" s="3"/>
      <c r="E42" s="11" t="s">
        <v>27</v>
      </c>
      <c r="F42" s="191" t="str">
        <f>A42</f>
        <v>Spurious</v>
      </c>
      <c r="G42" s="193" t="str">
        <f>IF(COUNT(B42:D42)=0, "H", IF(COUNT(B43:D43)=0, "V", IF(MAX(B42:D42) &gt;= MAX(B43:D43), "V", "H")))</f>
        <v>H</v>
      </c>
      <c r="H42" s="195">
        <f>MAX(B42:D43)</f>
        <v>0</v>
      </c>
      <c r="I42" s="197">
        <v>-47</v>
      </c>
      <c r="J42" s="178" t="str">
        <f>IF(OR(I42-H42&gt;10,I42-H42=-47),"No Peak Found",I42-H42)</f>
        <v>No Peak Found</v>
      </c>
      <c r="K42" s="180" t="s">
        <v>9</v>
      </c>
      <c r="L42" s="91" t="str">
        <f>IF(OR(COUNTIF(B42:D43, "-")+COUNTBLANK(B42:D43)=6), "Pass", IF(H42 &gt; I42, "Fail", IF(J42 &lt; 3, "Margin 부족", "Pass")))</f>
        <v>Pass</v>
      </c>
      <c r="M42" s="182" t="s">
        <v>12</v>
      </c>
    </row>
    <row r="43" spans="1:16" ht="21.95" customHeight="1" thickBot="1" x14ac:dyDescent="0.35">
      <c r="A43" s="190"/>
      <c r="B43" s="7"/>
      <c r="C43" s="7"/>
      <c r="D43" s="7"/>
      <c r="E43" s="12" t="s">
        <v>28</v>
      </c>
      <c r="F43" s="192"/>
      <c r="G43" s="194"/>
      <c r="H43" s="196"/>
      <c r="I43" s="198"/>
      <c r="J43" s="179"/>
      <c r="K43" s="181"/>
      <c r="L43" s="92"/>
      <c r="M43" s="183"/>
    </row>
    <row r="44" spans="1:16" ht="21.95" customHeight="1" thickBot="1" x14ac:dyDescent="0.35"/>
    <row r="45" spans="1:16" ht="21.95" customHeight="1" x14ac:dyDescent="0.3">
      <c r="A45" s="30" t="s">
        <v>38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2"/>
    </row>
    <row r="46" spans="1:16" ht="21.95" customHeight="1" thickBot="1" x14ac:dyDescent="0.35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5"/>
    </row>
    <row r="47" spans="1:16" ht="21.95" customHeight="1" x14ac:dyDescent="0.3">
      <c r="A47" s="52" t="s">
        <v>19</v>
      </c>
      <c r="B47" s="66" t="s">
        <v>47</v>
      </c>
      <c r="C47" s="52" t="s">
        <v>22</v>
      </c>
      <c r="D47" s="52" t="s">
        <v>23</v>
      </c>
      <c r="E47" s="52" t="s">
        <v>20</v>
      </c>
      <c r="F47" s="52" t="s">
        <v>21</v>
      </c>
      <c r="G47" s="52" t="s">
        <v>24</v>
      </c>
      <c r="H47" s="54" t="s">
        <v>39</v>
      </c>
      <c r="I47" s="55" t="s">
        <v>37</v>
      </c>
      <c r="J47" s="56" t="s">
        <v>40</v>
      </c>
      <c r="K47" s="57"/>
      <c r="L47" s="57"/>
      <c r="M47" s="58"/>
    </row>
    <row r="48" spans="1:16" ht="21.95" customHeight="1" x14ac:dyDescent="0.3">
      <c r="A48" s="53"/>
      <c r="B48" s="53"/>
      <c r="C48" s="53"/>
      <c r="D48" s="53"/>
      <c r="E48" s="53"/>
      <c r="F48" s="53"/>
      <c r="G48" s="53"/>
      <c r="H48" s="52"/>
      <c r="I48" s="52"/>
      <c r="J48" s="59"/>
      <c r="K48" s="60"/>
      <c r="L48" s="60"/>
      <c r="M48" s="61"/>
    </row>
    <row r="49" spans="1:16" ht="21.95" customHeight="1" x14ac:dyDescent="0.3">
      <c r="A49" s="62" t="s">
        <v>65</v>
      </c>
      <c r="B49" s="257"/>
      <c r="C49" s="36"/>
      <c r="D49" s="36"/>
      <c r="E49" s="36"/>
      <c r="F49" s="36"/>
      <c r="G49" s="36"/>
      <c r="H49" s="37">
        <v>30</v>
      </c>
      <c r="I49" s="37"/>
      <c r="J49" s="39"/>
      <c r="K49" s="40"/>
      <c r="L49" s="40"/>
      <c r="M49" s="41"/>
    </row>
    <row r="50" spans="1:16" ht="21.95" customHeight="1" thickBot="1" x14ac:dyDescent="0.35">
      <c r="A50" s="63"/>
      <c r="B50" s="258"/>
      <c r="C50" s="37"/>
      <c r="D50" s="37"/>
      <c r="E50" s="37"/>
      <c r="F50" s="37"/>
      <c r="G50" s="37"/>
      <c r="H50" s="38"/>
      <c r="I50" s="38"/>
      <c r="J50" s="42"/>
      <c r="K50" s="43"/>
      <c r="L50" s="43"/>
      <c r="M50" s="44"/>
    </row>
    <row r="51" spans="1:16" ht="21.95" customHeight="1" x14ac:dyDescent="0.3">
      <c r="A51" s="45" t="s">
        <v>44</v>
      </c>
      <c r="B51" s="46"/>
      <c r="C51" s="46"/>
      <c r="D51" s="46"/>
      <c r="E51" s="47"/>
      <c r="F51" s="51" t="s">
        <v>50</v>
      </c>
      <c r="G51" s="46"/>
      <c r="H51" s="46"/>
      <c r="I51" s="46"/>
      <c r="J51" s="46"/>
      <c r="K51" s="46"/>
      <c r="L51" s="46"/>
      <c r="M51" s="47"/>
    </row>
    <row r="52" spans="1:16" ht="21.95" customHeight="1" x14ac:dyDescent="0.3">
      <c r="A52" s="48"/>
      <c r="B52" s="49"/>
      <c r="C52" s="49"/>
      <c r="D52" s="49"/>
      <c r="E52" s="50"/>
      <c r="F52" s="49"/>
      <c r="G52" s="49"/>
      <c r="H52" s="49"/>
      <c r="I52" s="49"/>
      <c r="J52" s="49"/>
      <c r="K52" s="49"/>
      <c r="L52" s="49"/>
      <c r="M52" s="50"/>
    </row>
    <row r="53" spans="1:16" ht="21.95" customHeight="1" thickBot="1" x14ac:dyDescent="0.35">
      <c r="A53" s="67" t="s">
        <v>7</v>
      </c>
      <c r="B53" s="68"/>
      <c r="C53" s="68"/>
      <c r="D53" s="68"/>
      <c r="E53" s="69"/>
      <c r="F53" s="68" t="s">
        <v>7</v>
      </c>
      <c r="G53" s="68"/>
      <c r="H53" s="68"/>
      <c r="I53" s="68"/>
      <c r="J53" s="70"/>
      <c r="K53" s="68"/>
      <c r="L53" s="68"/>
      <c r="M53" s="69"/>
    </row>
    <row r="54" spans="1:16" ht="21.95" customHeight="1" thickTop="1" x14ac:dyDescent="0.3">
      <c r="A54" s="71" t="s">
        <v>43</v>
      </c>
      <c r="B54" s="73" t="s">
        <v>4</v>
      </c>
      <c r="C54" s="73" t="s">
        <v>15</v>
      </c>
      <c r="D54" s="73" t="s">
        <v>3</v>
      </c>
      <c r="E54" s="75" t="s">
        <v>2</v>
      </c>
      <c r="F54" s="71" t="s">
        <v>43</v>
      </c>
      <c r="G54" s="77" t="s">
        <v>17</v>
      </c>
      <c r="H54" s="77" t="s">
        <v>29</v>
      </c>
      <c r="I54" s="79" t="s">
        <v>41</v>
      </c>
      <c r="J54" s="81" t="s">
        <v>42</v>
      </c>
      <c r="K54" s="83" t="s">
        <v>10</v>
      </c>
      <c r="L54" s="85" t="s">
        <v>18</v>
      </c>
      <c r="M54" s="87" t="s">
        <v>8</v>
      </c>
    </row>
    <row r="55" spans="1:16" ht="21.95" customHeight="1" x14ac:dyDescent="0.3">
      <c r="A55" s="72"/>
      <c r="B55" s="74"/>
      <c r="C55" s="74"/>
      <c r="D55" s="74"/>
      <c r="E55" s="76"/>
      <c r="F55" s="72"/>
      <c r="G55" s="78"/>
      <c r="H55" s="78"/>
      <c r="I55" s="80"/>
      <c r="J55" s="82"/>
      <c r="K55" s="84"/>
      <c r="L55" s="86"/>
      <c r="M55" s="88"/>
    </row>
    <row r="56" spans="1:16" ht="21.95" customHeight="1" x14ac:dyDescent="0.3">
      <c r="A56" s="95" t="s">
        <v>26</v>
      </c>
      <c r="B56" s="3"/>
      <c r="C56" s="3"/>
      <c r="D56" s="3"/>
      <c r="E56" s="11" t="s">
        <v>27</v>
      </c>
      <c r="F56" s="97" t="str">
        <f>A56</f>
        <v>Spurious</v>
      </c>
      <c r="G56" s="99" t="str">
        <f>IF(COUNT(B56:D56)=0, "H", IF(COUNT(B57:D57)=0, "V", IF(MAX(B56:D56) &gt;= MAX(B57:D57), "V", "H")))</f>
        <v>H</v>
      </c>
      <c r="H56" s="101">
        <f>MAX(B56:D57)</f>
        <v>0</v>
      </c>
      <c r="I56" s="103">
        <v>-36</v>
      </c>
      <c r="J56" s="105" t="str">
        <f>IF(OR(I56-H56&gt;10,I56-H56=-36),"No Peak Found",I56-H56)</f>
        <v>No Peak Found</v>
      </c>
      <c r="K56" s="89" t="s">
        <v>9</v>
      </c>
      <c r="L56" s="91" t="str">
        <f>IF(OR(COUNTIF(B56:D57, "-")+COUNTBLANK(B56:D57)=6), "Pass", IF(H56 &gt; I56, "Fail", IF(J56 &lt; 3, "Margin 부족", "Pass")))</f>
        <v>Pass</v>
      </c>
      <c r="M56" s="93" t="s">
        <v>12</v>
      </c>
    </row>
    <row r="57" spans="1:16" ht="21.95" customHeight="1" thickBot="1" x14ac:dyDescent="0.35">
      <c r="A57" s="96"/>
      <c r="B57" s="7"/>
      <c r="C57" s="7"/>
      <c r="D57" s="7"/>
      <c r="E57" s="12" t="s">
        <v>28</v>
      </c>
      <c r="F57" s="98"/>
      <c r="G57" s="100"/>
      <c r="H57" s="102"/>
      <c r="I57" s="104"/>
      <c r="J57" s="106"/>
      <c r="K57" s="90"/>
      <c r="L57" s="92"/>
      <c r="M57" s="94"/>
    </row>
    <row r="58" spans="1:16" ht="21.95" customHeight="1" thickBot="1" x14ac:dyDescent="0.35">
      <c r="A58" s="107" t="s">
        <v>57</v>
      </c>
      <c r="B58" s="108"/>
      <c r="C58" s="108"/>
      <c r="D58" s="108"/>
      <c r="E58" s="109"/>
      <c r="F58" s="108" t="s">
        <v>57</v>
      </c>
      <c r="G58" s="108"/>
      <c r="H58" s="108"/>
      <c r="I58" s="108"/>
      <c r="J58" s="70"/>
      <c r="K58" s="108"/>
      <c r="L58" s="108"/>
      <c r="M58" s="108"/>
    </row>
    <row r="59" spans="1:16" ht="21.95" customHeight="1" thickTop="1" x14ac:dyDescent="0.3">
      <c r="A59" s="71" t="s">
        <v>43</v>
      </c>
      <c r="B59" s="73" t="s">
        <v>14</v>
      </c>
      <c r="C59" s="73" t="s">
        <v>15</v>
      </c>
      <c r="D59" s="73" t="s">
        <v>16</v>
      </c>
      <c r="E59" s="75" t="s">
        <v>17</v>
      </c>
      <c r="F59" s="71" t="s">
        <v>43</v>
      </c>
      <c r="G59" s="77" t="s">
        <v>17</v>
      </c>
      <c r="H59" s="77" t="s">
        <v>29</v>
      </c>
      <c r="I59" s="79" t="s">
        <v>41</v>
      </c>
      <c r="J59" s="81" t="s">
        <v>42</v>
      </c>
      <c r="K59" s="83" t="s">
        <v>10</v>
      </c>
      <c r="L59" s="85" t="s">
        <v>18</v>
      </c>
      <c r="M59" s="87" t="s">
        <v>8</v>
      </c>
    </row>
    <row r="60" spans="1:16" ht="21.95" customHeight="1" x14ac:dyDescent="0.3">
      <c r="A60" s="72"/>
      <c r="B60" s="74"/>
      <c r="C60" s="74"/>
      <c r="D60" s="74"/>
      <c r="E60" s="76"/>
      <c r="F60" s="72"/>
      <c r="G60" s="78"/>
      <c r="H60" s="78"/>
      <c r="I60" s="80"/>
      <c r="J60" s="82"/>
      <c r="K60" s="84"/>
      <c r="L60" s="86"/>
      <c r="M60" s="88"/>
    </row>
    <row r="61" spans="1:16" ht="21.95" customHeight="1" x14ac:dyDescent="0.3">
      <c r="A61" s="110" t="s">
        <v>26</v>
      </c>
      <c r="B61" s="3"/>
      <c r="C61" s="3"/>
      <c r="D61" s="3"/>
      <c r="E61" s="11" t="s">
        <v>27</v>
      </c>
      <c r="F61" s="112" t="str">
        <f>$A$19</f>
        <v>Spurious</v>
      </c>
      <c r="G61" s="99" t="str">
        <f>IF(COUNT(B61:D61)=0, "H", IF(COUNT(B62:D62)=0, "V", IF(MAX(B61:D61) &gt;= MAX(B62:D62), "V", "H")))</f>
        <v>H</v>
      </c>
      <c r="H61" s="101">
        <f>MAX(B61:D62)</f>
        <v>0</v>
      </c>
      <c r="I61" s="103">
        <v>-30</v>
      </c>
      <c r="J61" s="105" t="str">
        <f>IF(OR(I61-H61&gt;10,I61-H61=-30),"No Peak Found",I61-H61)</f>
        <v>No Peak Found</v>
      </c>
      <c r="K61" s="89" t="s">
        <v>9</v>
      </c>
      <c r="L61" s="91" t="str">
        <f>IF(OR(COUNTIF(B61:D62, "-")+COUNTBLANK(B61:D62)=6), "Pass", IF(H61 &gt; I61, "Fail", IF(J61 &lt; 3, "Margin 부족", "Pass")))</f>
        <v>Pass</v>
      </c>
      <c r="M61" s="93" t="s">
        <v>12</v>
      </c>
    </row>
    <row r="62" spans="1:16" ht="21.95" customHeight="1" thickBot="1" x14ac:dyDescent="0.35">
      <c r="A62" s="111"/>
      <c r="B62" s="7"/>
      <c r="C62" s="7"/>
      <c r="D62" s="7"/>
      <c r="E62" s="12" t="s">
        <v>28</v>
      </c>
      <c r="F62" s="113"/>
      <c r="G62" s="114"/>
      <c r="H62" s="115"/>
      <c r="I62" s="116"/>
      <c r="J62" s="106"/>
      <c r="K62" s="117"/>
      <c r="L62" s="118"/>
      <c r="M62" s="119"/>
    </row>
    <row r="63" spans="1:16" ht="21.95" customHeight="1" thickBot="1" x14ac:dyDescent="0.35">
      <c r="A63" s="120" t="s">
        <v>58</v>
      </c>
      <c r="B63" s="121"/>
      <c r="C63" s="121"/>
      <c r="D63" s="121"/>
      <c r="E63" s="121"/>
      <c r="F63" s="122" t="s">
        <v>58</v>
      </c>
      <c r="G63" s="123"/>
      <c r="H63" s="123"/>
      <c r="I63" s="123"/>
      <c r="J63" s="70"/>
      <c r="K63" s="123"/>
      <c r="L63" s="124"/>
      <c r="M63" s="125"/>
      <c r="N63" s="8" t="s">
        <v>8</v>
      </c>
    </row>
    <row r="64" spans="1:16" ht="21.95" customHeight="1" thickTop="1" x14ac:dyDescent="0.3">
      <c r="A64" s="71" t="s">
        <v>43</v>
      </c>
      <c r="B64" s="73" t="s">
        <v>14</v>
      </c>
      <c r="C64" s="73" t="s">
        <v>15</v>
      </c>
      <c r="D64" s="73" t="s">
        <v>16</v>
      </c>
      <c r="E64" s="75" t="s">
        <v>17</v>
      </c>
      <c r="F64" s="202" t="s">
        <v>43</v>
      </c>
      <c r="G64" s="132" t="s">
        <v>17</v>
      </c>
      <c r="H64" s="132" t="s">
        <v>29</v>
      </c>
      <c r="I64" s="133" t="s">
        <v>41</v>
      </c>
      <c r="J64" s="81" t="s">
        <v>42</v>
      </c>
      <c r="K64" s="134" t="s">
        <v>10</v>
      </c>
      <c r="L64" s="136" t="s">
        <v>18</v>
      </c>
      <c r="M64" s="138" t="s">
        <v>8</v>
      </c>
      <c r="N64" s="163" t="str">
        <f>"1. Sub6 NR Band : " &amp; VALUE(RIGHT(A7, LEN(A7)-1))</f>
        <v>1. Sub6 NR Band : 79</v>
      </c>
      <c r="O64" s="164"/>
      <c r="P64" s="164"/>
    </row>
    <row r="65" spans="1:16" ht="21.95" customHeight="1" x14ac:dyDescent="0.3">
      <c r="A65" s="72"/>
      <c r="B65" s="129"/>
      <c r="C65" s="129"/>
      <c r="D65" s="129"/>
      <c r="E65" s="76"/>
      <c r="F65" s="84"/>
      <c r="G65" s="78"/>
      <c r="H65" s="78"/>
      <c r="I65" s="80"/>
      <c r="J65" s="82"/>
      <c r="K65" s="135"/>
      <c r="L65" s="137"/>
      <c r="M65" s="139"/>
      <c r="N65" s="152" t="str">
        <f>"2. SCS : " &amp; H7 &amp; " kHz"</f>
        <v>2. SCS : 30 kHz</v>
      </c>
      <c r="O65" s="153"/>
      <c r="P65" s="153"/>
    </row>
    <row r="66" spans="1:16" ht="21.95" customHeight="1" x14ac:dyDescent="0.3">
      <c r="A66" s="199">
        <f>J7*2</f>
        <v>0</v>
      </c>
      <c r="B66" s="4"/>
      <c r="C66" s="4"/>
      <c r="D66" s="4"/>
      <c r="E66" s="16" t="s">
        <v>1</v>
      </c>
      <c r="F66" s="201">
        <f>$A$24</f>
        <v>0</v>
      </c>
      <c r="G66" s="99" t="str">
        <f>IF(COUNT(B66:D66)=0, "H", IF(COUNT(B67:D67)=0, "V", IF(MAX(B66:D66) &gt;= MAX(B67:D67), "V", "H")))</f>
        <v>H</v>
      </c>
      <c r="H66" s="101">
        <f>MAX(B66:D67)</f>
        <v>0</v>
      </c>
      <c r="I66" s="103">
        <v>-30</v>
      </c>
      <c r="J66" s="143" t="str">
        <f>IF(OR(I66-H66&gt;10,I66-H66=-30),"No Peak Found",I66-H66)</f>
        <v>No Peak Found</v>
      </c>
      <c r="K66" s="144" t="s">
        <v>9</v>
      </c>
      <c r="L66" s="117" t="str">
        <f>IF(OR(COUNTIF(B66:D67, "-")+COUNTBLANK(B66:D67)=6), "Pass", IF(H66 &gt; I66, "Fail", IF(J66 &lt; 3, "Margin 부족", "Pass")))</f>
        <v>Pass</v>
      </c>
      <c r="M66" s="146" t="s">
        <v>11</v>
      </c>
      <c r="N66" s="152" t="str">
        <f>"3. The test was performed the " &amp; I7 &amp; " antenna."</f>
        <v>3. The test was performed the  antenna.</v>
      </c>
      <c r="O66" s="153"/>
      <c r="P66" s="153"/>
    </row>
    <row r="67" spans="1:16" ht="21.95" customHeight="1" x14ac:dyDescent="0.3">
      <c r="A67" s="200"/>
      <c r="B67" s="4"/>
      <c r="C67" s="4"/>
      <c r="D67" s="4"/>
      <c r="E67" s="16" t="s">
        <v>0</v>
      </c>
      <c r="F67" s="201"/>
      <c r="G67" s="99"/>
      <c r="H67" s="101"/>
      <c r="I67" s="103"/>
      <c r="J67" s="143"/>
      <c r="K67" s="144"/>
      <c r="L67" s="145"/>
      <c r="M67" s="147"/>
      <c r="N67" s="152" t="str">
        <f>"4. " &amp; LEFT(A51, FIND(" ", A51 &amp; " ") - 1) &amp; " Mode Test."</f>
        <v>4. SA Mode Test.</v>
      </c>
      <c r="O67" s="154"/>
      <c r="P67" s="154"/>
    </row>
    <row r="68" spans="1:16" ht="21.95" customHeight="1" x14ac:dyDescent="0.3">
      <c r="A68" s="199">
        <f>J7*3</f>
        <v>0</v>
      </c>
      <c r="B68" s="4"/>
      <c r="C68" s="4"/>
      <c r="D68" s="4"/>
      <c r="E68" s="16" t="s">
        <v>1</v>
      </c>
      <c r="F68" s="203">
        <f>$A$26</f>
        <v>0</v>
      </c>
      <c r="G68" s="99" t="str">
        <f>IF(COUNT(B68:D68)=0, "H", IF(COUNT(B69:D69)=0, "V", IF(MAX(B68:D68) &gt;= MAX(B69:D69), "V", "H")))</f>
        <v>H</v>
      </c>
      <c r="H68" s="101">
        <f>MAX(B68:D69)</f>
        <v>0</v>
      </c>
      <c r="I68" s="149">
        <v>-30</v>
      </c>
      <c r="J68" s="143" t="str">
        <f t="shared" ref="J68" si="3">IF(OR(I68-H68&gt;10,I68-H68=-30),"No Peak Found",I68-H68)</f>
        <v>No Peak Found</v>
      </c>
      <c r="K68" s="150" t="s">
        <v>9</v>
      </c>
      <c r="L68" s="117" t="str">
        <f>IF(OR(COUNTIF(B68:D69, "-")+COUNTBLANK(B68:D69)=6), "Pass", IF(H68 &gt; I68, "Fail", IF(J68 &lt; 3, "Margin 부족", "Pass")))</f>
        <v>Pass</v>
      </c>
      <c r="M68" s="146" t="s">
        <v>11</v>
      </c>
    </row>
    <row r="69" spans="1:16" ht="21.95" customHeight="1" x14ac:dyDescent="0.3">
      <c r="A69" s="200"/>
      <c r="B69" s="4"/>
      <c r="C69" s="4"/>
      <c r="D69" s="4"/>
      <c r="E69" s="16" t="s">
        <v>0</v>
      </c>
      <c r="F69" s="203"/>
      <c r="G69" s="99"/>
      <c r="H69" s="101"/>
      <c r="I69" s="149"/>
      <c r="J69" s="143"/>
      <c r="K69" s="150"/>
      <c r="L69" s="145"/>
      <c r="M69" s="147"/>
    </row>
    <row r="70" spans="1:16" ht="21.95" customHeight="1" x14ac:dyDescent="0.3">
      <c r="A70" s="199">
        <f>J7*4</f>
        <v>0</v>
      </c>
      <c r="B70" s="4"/>
      <c r="C70" s="4"/>
      <c r="D70" s="4"/>
      <c r="E70" s="16" t="s">
        <v>1</v>
      </c>
      <c r="F70" s="201">
        <f>$A$28</f>
        <v>0</v>
      </c>
      <c r="G70" s="99" t="str">
        <f>IF(COUNT(B70:D70)=0, "H", IF(COUNT(B71:D71)=0, "V", IF(MAX(B70:D70) &gt;= MAX(B71:D71), "V", "H")))</f>
        <v>H</v>
      </c>
      <c r="H70" s="101">
        <f>MAX(B70:D71)</f>
        <v>0</v>
      </c>
      <c r="I70" s="149">
        <v>-30</v>
      </c>
      <c r="J70" s="143" t="str">
        <f t="shared" ref="J70" si="4">IF(OR(I70-H70&gt;10,I70-H70=-30),"No Peak Found",I70-H70)</f>
        <v>No Peak Found</v>
      </c>
      <c r="K70" s="171" t="s">
        <v>9</v>
      </c>
      <c r="L70" s="117" t="str">
        <f>IF(OR(COUNTIF(B70:D71, "-")+COUNTBLANK(B70:D71)=6), "Pass", IF(H70 &gt; I70, "Fail", IF(J70 &lt; 3, "Margin 부족", "Pass")))</f>
        <v>Pass</v>
      </c>
      <c r="M70" s="146" t="s">
        <v>11</v>
      </c>
    </row>
    <row r="71" spans="1:16" ht="21.95" customHeight="1" x14ac:dyDescent="0.3">
      <c r="A71" s="200"/>
      <c r="B71" s="4"/>
      <c r="C71" s="4"/>
      <c r="D71" s="4"/>
      <c r="E71" s="16" t="s">
        <v>0</v>
      </c>
      <c r="F71" s="201"/>
      <c r="G71" s="99"/>
      <c r="H71" s="101"/>
      <c r="I71" s="149"/>
      <c r="J71" s="143"/>
      <c r="K71" s="171"/>
      <c r="L71" s="145"/>
      <c r="M71" s="147"/>
    </row>
    <row r="72" spans="1:16" ht="21.95" customHeight="1" x14ac:dyDescent="0.3">
      <c r="A72" s="199">
        <f>J7*5</f>
        <v>0</v>
      </c>
      <c r="B72" s="4"/>
      <c r="C72" s="4"/>
      <c r="D72" s="4"/>
      <c r="E72" s="16" t="s">
        <v>1</v>
      </c>
      <c r="F72" s="203">
        <f>$A$30</f>
        <v>0</v>
      </c>
      <c r="G72" s="99" t="str">
        <f>IF(COUNT(B72:D72)=0, "H", IF(COUNT(B73:D73)=0, "V", IF(MAX(B72:D72) &gt;= MAX(B73:D73), "V", "H")))</f>
        <v>H</v>
      </c>
      <c r="H72" s="101">
        <f>MAX(B72:D73)</f>
        <v>0</v>
      </c>
      <c r="I72" s="149">
        <v>-30</v>
      </c>
      <c r="J72" s="143" t="str">
        <f t="shared" ref="J72" si="5">IF(OR(I72-H72&gt;10,I72-H72=-30),"No Peak Found",I72-H72)</f>
        <v>No Peak Found</v>
      </c>
      <c r="K72" s="171" t="s">
        <v>9</v>
      </c>
      <c r="L72" s="117" t="str">
        <f>IF(OR(COUNTIF(B72:D73, "-")+COUNTBLANK(B72:D73)=6), "Pass", IF(H72 &gt; I72, "Fail", IF(J72 &lt; 3, "Margin 부족", "Pass")))</f>
        <v>Pass</v>
      </c>
      <c r="M72" s="146" t="s">
        <v>11</v>
      </c>
    </row>
    <row r="73" spans="1:16" ht="21.95" customHeight="1" thickBot="1" x14ac:dyDescent="0.35">
      <c r="A73" s="204"/>
      <c r="B73" s="17"/>
      <c r="C73" s="17"/>
      <c r="D73" s="17"/>
      <c r="E73" s="18" t="s">
        <v>28</v>
      </c>
      <c r="F73" s="205"/>
      <c r="G73" s="167"/>
      <c r="H73" s="168"/>
      <c r="I73" s="169"/>
      <c r="J73" s="170"/>
      <c r="K73" s="172"/>
      <c r="L73" s="173"/>
      <c r="M73" s="151"/>
    </row>
    <row r="74" spans="1:16" ht="21.95" customHeight="1" x14ac:dyDescent="0.3">
      <c r="A74" s="155" t="s">
        <v>45</v>
      </c>
      <c r="B74" s="156"/>
      <c r="C74" s="156"/>
      <c r="D74" s="156"/>
      <c r="E74" s="157"/>
      <c r="F74" s="159" t="s">
        <v>51</v>
      </c>
      <c r="G74" s="159"/>
      <c r="H74" s="159"/>
      <c r="I74" s="159"/>
      <c r="J74" s="159"/>
      <c r="K74" s="159"/>
      <c r="L74" s="159"/>
      <c r="M74" s="160"/>
    </row>
    <row r="75" spans="1:16" ht="21.95" customHeight="1" x14ac:dyDescent="0.3">
      <c r="A75" s="158"/>
      <c r="B75" s="156"/>
      <c r="C75" s="156"/>
      <c r="D75" s="156"/>
      <c r="E75" s="157"/>
      <c r="F75" s="161"/>
      <c r="G75" s="161"/>
      <c r="H75" s="161"/>
      <c r="I75" s="161"/>
      <c r="J75" s="161"/>
      <c r="K75" s="161"/>
      <c r="L75" s="161"/>
      <c r="M75" s="162"/>
    </row>
    <row r="76" spans="1:16" ht="21.95" customHeight="1" thickBot="1" x14ac:dyDescent="0.35">
      <c r="A76" s="174" t="s">
        <v>6</v>
      </c>
      <c r="B76" s="175"/>
      <c r="C76" s="175"/>
      <c r="D76" s="175"/>
      <c r="E76" s="176"/>
      <c r="F76" s="177" t="s">
        <v>6</v>
      </c>
      <c r="G76" s="177"/>
      <c r="H76" s="177"/>
      <c r="I76" s="177"/>
      <c r="J76" s="177"/>
      <c r="K76" s="177"/>
      <c r="L76" s="177"/>
      <c r="M76" s="177"/>
    </row>
    <row r="77" spans="1:16" ht="21.95" customHeight="1" thickTop="1" x14ac:dyDescent="0.3">
      <c r="A77" s="71" t="s">
        <v>43</v>
      </c>
      <c r="B77" s="73" t="s">
        <v>14</v>
      </c>
      <c r="C77" s="73" t="s">
        <v>15</v>
      </c>
      <c r="D77" s="73" t="s">
        <v>16</v>
      </c>
      <c r="E77" s="75" t="s">
        <v>17</v>
      </c>
      <c r="F77" s="71" t="s">
        <v>43</v>
      </c>
      <c r="G77" s="77" t="s">
        <v>17</v>
      </c>
      <c r="H77" s="77" t="s">
        <v>29</v>
      </c>
      <c r="I77" s="79" t="s">
        <v>41</v>
      </c>
      <c r="J77" s="81" t="s">
        <v>42</v>
      </c>
      <c r="K77" s="187" t="s">
        <v>10</v>
      </c>
      <c r="L77" s="85" t="s">
        <v>18</v>
      </c>
      <c r="M77" s="87" t="s">
        <v>8</v>
      </c>
    </row>
    <row r="78" spans="1:16" ht="21.95" customHeight="1" x14ac:dyDescent="0.3">
      <c r="A78" s="72"/>
      <c r="B78" s="74"/>
      <c r="C78" s="74"/>
      <c r="D78" s="74"/>
      <c r="E78" s="76"/>
      <c r="F78" s="72"/>
      <c r="G78" s="78"/>
      <c r="H78" s="78"/>
      <c r="I78" s="80"/>
      <c r="J78" s="82"/>
      <c r="K78" s="188"/>
      <c r="L78" s="86"/>
      <c r="M78" s="88"/>
    </row>
    <row r="79" spans="1:16" ht="21.95" customHeight="1" x14ac:dyDescent="0.3">
      <c r="A79" s="189" t="s">
        <v>26</v>
      </c>
      <c r="B79" s="3"/>
      <c r="C79" s="3"/>
      <c r="D79" s="3"/>
      <c r="E79" s="11" t="s">
        <v>27</v>
      </c>
      <c r="F79" s="191" t="str">
        <f>A79</f>
        <v>Spurious</v>
      </c>
      <c r="G79" s="193" t="str">
        <f>IF(COUNT(B79:D79)=0, "H", IF(COUNT(B80:D80)=0, "V", IF(MAX(B79:D79) &gt;= MAX(B80:D80), "V", "H")))</f>
        <v>H</v>
      </c>
      <c r="H79" s="195">
        <f>MAX(B79:D80)</f>
        <v>0</v>
      </c>
      <c r="I79" s="197">
        <v>-57</v>
      </c>
      <c r="J79" s="178" t="str">
        <f>IF(OR(I79-H79&gt;10,I79-H79=-57),"No Peak Found",I79-H79)</f>
        <v>No Peak Found</v>
      </c>
      <c r="K79" s="180" t="s">
        <v>9</v>
      </c>
      <c r="L79" s="91" t="str">
        <f>IF(OR(COUNTIF(B79:D80, "-")+COUNTBLANK(B79:D80)=6), "Pass", IF(H79 &gt; I79, "Fail", IF(J79 &lt; 3, "Margin 부족", "Pass")))</f>
        <v>Pass</v>
      </c>
      <c r="M79" s="182" t="s">
        <v>12</v>
      </c>
    </row>
    <row r="80" spans="1:16" ht="21.95" customHeight="1" thickBot="1" x14ac:dyDescent="0.35">
      <c r="A80" s="190"/>
      <c r="B80" s="7"/>
      <c r="C80" s="7"/>
      <c r="D80" s="7"/>
      <c r="E80" s="12" t="s">
        <v>28</v>
      </c>
      <c r="F80" s="192"/>
      <c r="G80" s="194"/>
      <c r="H80" s="196"/>
      <c r="I80" s="198"/>
      <c r="J80" s="179"/>
      <c r="K80" s="181"/>
      <c r="L80" s="92"/>
      <c r="M80" s="183"/>
    </row>
    <row r="81" spans="1:13" ht="21.95" customHeight="1" thickBot="1" x14ac:dyDescent="0.35">
      <c r="A81" s="184" t="s">
        <v>5</v>
      </c>
      <c r="B81" s="185"/>
      <c r="C81" s="185"/>
      <c r="D81" s="185"/>
      <c r="E81" s="186"/>
      <c r="F81" s="70" t="s">
        <v>5</v>
      </c>
      <c r="G81" s="70"/>
      <c r="H81" s="70"/>
      <c r="I81" s="70"/>
      <c r="J81" s="70"/>
      <c r="K81" s="70"/>
      <c r="L81" s="70"/>
      <c r="M81" s="70"/>
    </row>
    <row r="82" spans="1:13" ht="21.95" customHeight="1" thickTop="1" x14ac:dyDescent="0.3">
      <c r="A82" s="71" t="s">
        <v>43</v>
      </c>
      <c r="B82" s="73" t="s">
        <v>14</v>
      </c>
      <c r="C82" s="73" t="s">
        <v>15</v>
      </c>
      <c r="D82" s="73" t="s">
        <v>16</v>
      </c>
      <c r="E82" s="75" t="s">
        <v>17</v>
      </c>
      <c r="F82" s="71" t="s">
        <v>43</v>
      </c>
      <c r="G82" s="77" t="s">
        <v>17</v>
      </c>
      <c r="H82" s="77" t="s">
        <v>29</v>
      </c>
      <c r="I82" s="79" t="s">
        <v>41</v>
      </c>
      <c r="J82" s="81" t="s">
        <v>42</v>
      </c>
      <c r="K82" s="187" t="s">
        <v>10</v>
      </c>
      <c r="L82" s="85" t="s">
        <v>18</v>
      </c>
      <c r="M82" s="87" t="s">
        <v>8</v>
      </c>
    </row>
    <row r="83" spans="1:13" ht="21.95" customHeight="1" x14ac:dyDescent="0.3">
      <c r="A83" s="72"/>
      <c r="B83" s="74"/>
      <c r="C83" s="74"/>
      <c r="D83" s="74"/>
      <c r="E83" s="76"/>
      <c r="F83" s="72"/>
      <c r="G83" s="78"/>
      <c r="H83" s="78"/>
      <c r="I83" s="80"/>
      <c r="J83" s="82"/>
      <c r="K83" s="188"/>
      <c r="L83" s="86"/>
      <c r="M83" s="88"/>
    </row>
    <row r="84" spans="1:13" ht="21.95" customHeight="1" x14ac:dyDescent="0.3">
      <c r="A84" s="189" t="s">
        <v>26</v>
      </c>
      <c r="B84" s="3"/>
      <c r="C84" s="3"/>
      <c r="D84" s="3"/>
      <c r="E84" s="11" t="s">
        <v>27</v>
      </c>
      <c r="F84" s="191" t="str">
        <f>A84</f>
        <v>Spurious</v>
      </c>
      <c r="G84" s="193" t="str">
        <f>IF(COUNT(B84:D84)=0, "H", IF(COUNT(B85:D85)=0, "V", IF(MAX(B84:D84) &gt;= MAX(B85:D85), "V", "H")))</f>
        <v>H</v>
      </c>
      <c r="H84" s="195">
        <f>MAX(B84:D85)</f>
        <v>0</v>
      </c>
      <c r="I84" s="197">
        <v>-47</v>
      </c>
      <c r="J84" s="178" t="str">
        <f>IF(OR(I84-H84&gt;10,I84-H84=-47),"No Peak Found",I84-H84)</f>
        <v>No Peak Found</v>
      </c>
      <c r="K84" s="180" t="s">
        <v>9</v>
      </c>
      <c r="L84" s="91" t="str">
        <f>IF(OR(COUNTIF(B84:D85, "-")+COUNTBLANK(B84:D85)=6), "Pass", IF(H84 &gt; I84, "Fail", IF(J84 &lt; 3, "Margin 부족", "Pass")))</f>
        <v>Pass</v>
      </c>
      <c r="M84" s="182" t="s">
        <v>12</v>
      </c>
    </row>
    <row r="85" spans="1:13" ht="21.95" customHeight="1" thickBot="1" x14ac:dyDescent="0.35">
      <c r="A85" s="190"/>
      <c r="B85" s="7"/>
      <c r="C85" s="7"/>
      <c r="D85" s="7"/>
      <c r="E85" s="12" t="s">
        <v>28</v>
      </c>
      <c r="F85" s="192"/>
      <c r="G85" s="194"/>
      <c r="H85" s="196"/>
      <c r="I85" s="198"/>
      <c r="J85" s="179"/>
      <c r="K85" s="181"/>
      <c r="L85" s="92"/>
      <c r="M85" s="183"/>
    </row>
  </sheetData>
  <mergeCells count="357">
    <mergeCell ref="J84:J85"/>
    <mergeCell ref="K84:K85"/>
    <mergeCell ref="L84:L85"/>
    <mergeCell ref="M84:M85"/>
    <mergeCell ref="I82:I83"/>
    <mergeCell ref="J82:J83"/>
    <mergeCell ref="K82:K83"/>
    <mergeCell ref="L82:L83"/>
    <mergeCell ref="M82:M83"/>
    <mergeCell ref="A84:A85"/>
    <mergeCell ref="F84:F85"/>
    <mergeCell ref="G84:G85"/>
    <mergeCell ref="H84:H85"/>
    <mergeCell ref="I84:I85"/>
    <mergeCell ref="A81:E81"/>
    <mergeCell ref="F81:M81"/>
    <mergeCell ref="A82:A83"/>
    <mergeCell ref="B82:B83"/>
    <mergeCell ref="C82:C83"/>
    <mergeCell ref="D82:D83"/>
    <mergeCell ref="E82:E83"/>
    <mergeCell ref="F82:F83"/>
    <mergeCell ref="G82:G83"/>
    <mergeCell ref="H82:H83"/>
    <mergeCell ref="M77:M78"/>
    <mergeCell ref="A79:A80"/>
    <mergeCell ref="F79:F80"/>
    <mergeCell ref="G79:G80"/>
    <mergeCell ref="H79:H80"/>
    <mergeCell ref="I79:I80"/>
    <mergeCell ref="J79:J80"/>
    <mergeCell ref="K79:K80"/>
    <mergeCell ref="L79:L80"/>
    <mergeCell ref="M79:M80"/>
    <mergeCell ref="G77:G78"/>
    <mergeCell ref="H77:H78"/>
    <mergeCell ref="I77:I78"/>
    <mergeCell ref="J77:J78"/>
    <mergeCell ref="K77:K78"/>
    <mergeCell ref="L77:L78"/>
    <mergeCell ref="A77:A78"/>
    <mergeCell ref="B77:B78"/>
    <mergeCell ref="C77:C78"/>
    <mergeCell ref="D77:D78"/>
    <mergeCell ref="E77:E78"/>
    <mergeCell ref="F77:F78"/>
    <mergeCell ref="L72:L73"/>
    <mergeCell ref="M72:M73"/>
    <mergeCell ref="A74:E75"/>
    <mergeCell ref="F74:M75"/>
    <mergeCell ref="A76:E76"/>
    <mergeCell ref="F76:M76"/>
    <mergeCell ref="K70:K71"/>
    <mergeCell ref="L70:L71"/>
    <mergeCell ref="M70:M71"/>
    <mergeCell ref="A72:A73"/>
    <mergeCell ref="F72:F73"/>
    <mergeCell ref="G72:G73"/>
    <mergeCell ref="H72:H73"/>
    <mergeCell ref="I72:I73"/>
    <mergeCell ref="J72:J73"/>
    <mergeCell ref="K72:K73"/>
    <mergeCell ref="J68:J69"/>
    <mergeCell ref="K68:K69"/>
    <mergeCell ref="L68:L69"/>
    <mergeCell ref="M68:M69"/>
    <mergeCell ref="A70:A71"/>
    <mergeCell ref="F70:F71"/>
    <mergeCell ref="G70:G71"/>
    <mergeCell ref="H70:H71"/>
    <mergeCell ref="I70:I71"/>
    <mergeCell ref="J70:J71"/>
    <mergeCell ref="K66:K67"/>
    <mergeCell ref="L66:L67"/>
    <mergeCell ref="M66:M67"/>
    <mergeCell ref="N66:P66"/>
    <mergeCell ref="N67:P67"/>
    <mergeCell ref="A68:A69"/>
    <mergeCell ref="F68:F69"/>
    <mergeCell ref="G68:G69"/>
    <mergeCell ref="H68:H69"/>
    <mergeCell ref="I68:I69"/>
    <mergeCell ref="L64:L65"/>
    <mergeCell ref="M64:M65"/>
    <mergeCell ref="N64:P64"/>
    <mergeCell ref="N65:P65"/>
    <mergeCell ref="A66:A67"/>
    <mergeCell ref="F66:F67"/>
    <mergeCell ref="G66:G67"/>
    <mergeCell ref="H66:H67"/>
    <mergeCell ref="I66:I67"/>
    <mergeCell ref="J66:J67"/>
    <mergeCell ref="F64:F65"/>
    <mergeCell ref="G64:G65"/>
    <mergeCell ref="H64:H65"/>
    <mergeCell ref="I64:I65"/>
    <mergeCell ref="J64:J65"/>
    <mergeCell ref="K64:K65"/>
    <mergeCell ref="K61:K62"/>
    <mergeCell ref="L61:L62"/>
    <mergeCell ref="M61:M62"/>
    <mergeCell ref="A63:E63"/>
    <mergeCell ref="F63:M63"/>
    <mergeCell ref="A64:A65"/>
    <mergeCell ref="B64:B65"/>
    <mergeCell ref="C64:C65"/>
    <mergeCell ref="D64:D65"/>
    <mergeCell ref="E64:E65"/>
    <mergeCell ref="A61:A62"/>
    <mergeCell ref="F61:F62"/>
    <mergeCell ref="G61:G62"/>
    <mergeCell ref="H61:H62"/>
    <mergeCell ref="I61:I62"/>
    <mergeCell ref="J61:J62"/>
    <mergeCell ref="H59:H60"/>
    <mergeCell ref="I59:I60"/>
    <mergeCell ref="J59:J60"/>
    <mergeCell ref="K59:K60"/>
    <mergeCell ref="L59:L60"/>
    <mergeCell ref="M59:M60"/>
    <mergeCell ref="M56:M57"/>
    <mergeCell ref="A58:E58"/>
    <mergeCell ref="F58:M58"/>
    <mergeCell ref="A59:A60"/>
    <mergeCell ref="B59:B60"/>
    <mergeCell ref="C59:C60"/>
    <mergeCell ref="D59:D60"/>
    <mergeCell ref="E59:E60"/>
    <mergeCell ref="F59:F60"/>
    <mergeCell ref="G59:G60"/>
    <mergeCell ref="L54:L55"/>
    <mergeCell ref="M54:M55"/>
    <mergeCell ref="A56:A57"/>
    <mergeCell ref="F56:F57"/>
    <mergeCell ref="G56:G57"/>
    <mergeCell ref="H56:H57"/>
    <mergeCell ref="I56:I57"/>
    <mergeCell ref="J56:J57"/>
    <mergeCell ref="K56:K57"/>
    <mergeCell ref="L56:L57"/>
    <mergeCell ref="F54:F55"/>
    <mergeCell ref="G54:G55"/>
    <mergeCell ref="H54:H55"/>
    <mergeCell ref="I54:I55"/>
    <mergeCell ref="J54:J55"/>
    <mergeCell ref="K54:K55"/>
    <mergeCell ref="J49:M50"/>
    <mergeCell ref="A51:E52"/>
    <mergeCell ref="F51:M52"/>
    <mergeCell ref="A53:E53"/>
    <mergeCell ref="F53:M53"/>
    <mergeCell ref="A54:A55"/>
    <mergeCell ref="B54:B55"/>
    <mergeCell ref="C54:C55"/>
    <mergeCell ref="D54:D55"/>
    <mergeCell ref="E54:E55"/>
    <mergeCell ref="J47:M48"/>
    <mergeCell ref="A49:A50"/>
    <mergeCell ref="B49:B50"/>
    <mergeCell ref="C49:C50"/>
    <mergeCell ref="D49:D50"/>
    <mergeCell ref="E49:E50"/>
    <mergeCell ref="F49:F50"/>
    <mergeCell ref="G49:G50"/>
    <mergeCell ref="H49:H50"/>
    <mergeCell ref="I49:I50"/>
    <mergeCell ref="A45:M46"/>
    <mergeCell ref="A47:A48"/>
    <mergeCell ref="B47:B48"/>
    <mergeCell ref="C47:C48"/>
    <mergeCell ref="D47:D48"/>
    <mergeCell ref="E47:E48"/>
    <mergeCell ref="F47:F48"/>
    <mergeCell ref="G47:G48"/>
    <mergeCell ref="H47:H48"/>
    <mergeCell ref="I47:I48"/>
    <mergeCell ref="M40:M41"/>
    <mergeCell ref="A42:A43"/>
    <mergeCell ref="F42:F43"/>
    <mergeCell ref="G42:G43"/>
    <mergeCell ref="H42:H43"/>
    <mergeCell ref="I42:I43"/>
    <mergeCell ref="J42:J43"/>
    <mergeCell ref="K42:K43"/>
    <mergeCell ref="L42:L43"/>
    <mergeCell ref="M42:M43"/>
    <mergeCell ref="G40:G41"/>
    <mergeCell ref="H40:H41"/>
    <mergeCell ref="I40:I41"/>
    <mergeCell ref="J40:J41"/>
    <mergeCell ref="K40:K41"/>
    <mergeCell ref="L40:L41"/>
    <mergeCell ref="A40:A41"/>
    <mergeCell ref="B40:B41"/>
    <mergeCell ref="C40:C41"/>
    <mergeCell ref="D40:D41"/>
    <mergeCell ref="E40:E41"/>
    <mergeCell ref="F40:F41"/>
    <mergeCell ref="J37:J38"/>
    <mergeCell ref="K37:K38"/>
    <mergeCell ref="L37:L38"/>
    <mergeCell ref="M37:M38"/>
    <mergeCell ref="A39:E39"/>
    <mergeCell ref="F39:M39"/>
    <mergeCell ref="I35:I36"/>
    <mergeCell ref="J35:J36"/>
    <mergeCell ref="K35:K36"/>
    <mergeCell ref="L35:L36"/>
    <mergeCell ref="M35:M36"/>
    <mergeCell ref="A37:A38"/>
    <mergeCell ref="F37:F38"/>
    <mergeCell ref="G37:G38"/>
    <mergeCell ref="H37:H38"/>
    <mergeCell ref="I37:I38"/>
    <mergeCell ref="A34:E34"/>
    <mergeCell ref="F34:M34"/>
    <mergeCell ref="A35:A36"/>
    <mergeCell ref="B35:B36"/>
    <mergeCell ref="C35:C36"/>
    <mergeCell ref="D35:D36"/>
    <mergeCell ref="E35:E36"/>
    <mergeCell ref="F35:F36"/>
    <mergeCell ref="G35:G36"/>
    <mergeCell ref="H35:H36"/>
    <mergeCell ref="K30:K31"/>
    <mergeCell ref="L30:L31"/>
    <mergeCell ref="M30:M31"/>
    <mergeCell ref="N30:P30"/>
    <mergeCell ref="N31:P31"/>
    <mergeCell ref="A32:E33"/>
    <mergeCell ref="F32:M33"/>
    <mergeCell ref="L28:L29"/>
    <mergeCell ref="M28:M29"/>
    <mergeCell ref="N28:P28"/>
    <mergeCell ref="N29:P29"/>
    <mergeCell ref="A30:A31"/>
    <mergeCell ref="F30:F31"/>
    <mergeCell ref="G30:G31"/>
    <mergeCell ref="H30:H31"/>
    <mergeCell ref="I30:I31"/>
    <mergeCell ref="J30:J31"/>
    <mergeCell ref="K26:K27"/>
    <mergeCell ref="L26:L27"/>
    <mergeCell ref="M26:M27"/>
    <mergeCell ref="A28:A29"/>
    <mergeCell ref="F28:F29"/>
    <mergeCell ref="G28:G29"/>
    <mergeCell ref="H28:H29"/>
    <mergeCell ref="I28:I29"/>
    <mergeCell ref="J28:J29"/>
    <mergeCell ref="K28:K29"/>
    <mergeCell ref="J24:J25"/>
    <mergeCell ref="K24:K25"/>
    <mergeCell ref="L24:L25"/>
    <mergeCell ref="M24:M25"/>
    <mergeCell ref="A26:A27"/>
    <mergeCell ref="F26:F27"/>
    <mergeCell ref="G26:G27"/>
    <mergeCell ref="H26:H27"/>
    <mergeCell ref="I26:I27"/>
    <mergeCell ref="J26:J27"/>
    <mergeCell ref="I22:I23"/>
    <mergeCell ref="J22:J23"/>
    <mergeCell ref="K22:K23"/>
    <mergeCell ref="L22:L23"/>
    <mergeCell ref="M22:M23"/>
    <mergeCell ref="A24:A25"/>
    <mergeCell ref="F24:F25"/>
    <mergeCell ref="G24:G25"/>
    <mergeCell ref="H24:H25"/>
    <mergeCell ref="I24:I25"/>
    <mergeCell ref="A21:E21"/>
    <mergeCell ref="F21:M21"/>
    <mergeCell ref="A22:A23"/>
    <mergeCell ref="B22:B23"/>
    <mergeCell ref="C22:C23"/>
    <mergeCell ref="D22:D23"/>
    <mergeCell ref="E22:E23"/>
    <mergeCell ref="F22:F23"/>
    <mergeCell ref="G22:G23"/>
    <mergeCell ref="H22:H23"/>
    <mergeCell ref="M17:M18"/>
    <mergeCell ref="A19:A20"/>
    <mergeCell ref="F19:F20"/>
    <mergeCell ref="G19:G20"/>
    <mergeCell ref="H19:H20"/>
    <mergeCell ref="I19:I20"/>
    <mergeCell ref="J19:J20"/>
    <mergeCell ref="K19:K20"/>
    <mergeCell ref="L19:L20"/>
    <mergeCell ref="M19: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J14:J15"/>
    <mergeCell ref="K14:K15"/>
    <mergeCell ref="L14:L15"/>
    <mergeCell ref="M14:M15"/>
    <mergeCell ref="A16:E16"/>
    <mergeCell ref="F16:M16"/>
    <mergeCell ref="I12:I13"/>
    <mergeCell ref="J12:J13"/>
    <mergeCell ref="K12:K13"/>
    <mergeCell ref="L12:L13"/>
    <mergeCell ref="M12:M13"/>
    <mergeCell ref="A14:A15"/>
    <mergeCell ref="F14:F15"/>
    <mergeCell ref="G14:G15"/>
    <mergeCell ref="H14:H15"/>
    <mergeCell ref="I14:I15"/>
    <mergeCell ref="A11:E11"/>
    <mergeCell ref="F11:M11"/>
    <mergeCell ref="A12:A13"/>
    <mergeCell ref="B12:B13"/>
    <mergeCell ref="C12:C13"/>
    <mergeCell ref="D12:D13"/>
    <mergeCell ref="E12:E13"/>
    <mergeCell ref="F12:F13"/>
    <mergeCell ref="G12:G13"/>
    <mergeCell ref="H12:H13"/>
    <mergeCell ref="G7:G8"/>
    <mergeCell ref="H7:H8"/>
    <mergeCell ref="I7:I8"/>
    <mergeCell ref="J7:M8"/>
    <mergeCell ref="A9:E10"/>
    <mergeCell ref="F9:M10"/>
    <mergeCell ref="G5:G6"/>
    <mergeCell ref="H5:H6"/>
    <mergeCell ref="I5:I6"/>
    <mergeCell ref="J5:M6"/>
    <mergeCell ref="A7:A8"/>
    <mergeCell ref="B7:B8"/>
    <mergeCell ref="C7:C8"/>
    <mergeCell ref="D7:D8"/>
    <mergeCell ref="E7:E8"/>
    <mergeCell ref="F7:F8"/>
    <mergeCell ref="A5:A6"/>
    <mergeCell ref="B5:B6"/>
    <mergeCell ref="C5:C6"/>
    <mergeCell ref="D5:D6"/>
    <mergeCell ref="E5:E6"/>
    <mergeCell ref="F5:F6"/>
    <mergeCell ref="B1:D1"/>
    <mergeCell ref="E1:F2"/>
    <mergeCell ref="G1:M1"/>
    <mergeCell ref="B2:D2"/>
    <mergeCell ref="G2:M2"/>
    <mergeCell ref="A3:M4"/>
  </mergeCells>
  <phoneticPr fontId="1" type="noConversion"/>
  <conditionalFormatting sqref="J14 J19">
    <cfRule type="cellIs" dxfId="48" priority="49" operator="lessThan">
      <formula>10</formula>
    </cfRule>
  </conditionalFormatting>
  <conditionalFormatting sqref="J14">
    <cfRule type="cellIs" dxfId="47" priority="48" operator="equal">
      <formula>-36</formula>
    </cfRule>
  </conditionalFormatting>
  <conditionalFormatting sqref="L14 L19">
    <cfRule type="cellIs" dxfId="46" priority="47" operator="equal">
      <formula>"Fail"</formula>
    </cfRule>
  </conditionalFormatting>
  <conditionalFormatting sqref="J24">
    <cfRule type="cellIs" dxfId="45" priority="45" operator="equal">
      <formula>-30</formula>
    </cfRule>
    <cfRule type="cellIs" dxfId="44" priority="46" operator="lessThan">
      <formula>10</formula>
    </cfRule>
  </conditionalFormatting>
  <conditionalFormatting sqref="L24">
    <cfRule type="cellIs" dxfId="43" priority="44" operator="equal">
      <formula>"Fail"</formula>
    </cfRule>
  </conditionalFormatting>
  <conditionalFormatting sqref="L26">
    <cfRule type="cellIs" dxfId="42" priority="43" operator="equal">
      <formula>"Fail"</formula>
    </cfRule>
  </conditionalFormatting>
  <conditionalFormatting sqref="L28">
    <cfRule type="cellIs" dxfId="41" priority="42" operator="equal">
      <formula>"Fail"</formula>
    </cfRule>
  </conditionalFormatting>
  <conditionalFormatting sqref="L30">
    <cfRule type="cellIs" dxfId="40" priority="41" operator="equal">
      <formula>"Fail"</formula>
    </cfRule>
  </conditionalFormatting>
  <conditionalFormatting sqref="V33">
    <cfRule type="cellIs" dxfId="39" priority="40" operator="equal">
      <formula>"Fail"</formula>
    </cfRule>
  </conditionalFormatting>
  <conditionalFormatting sqref="L14:L15 L19:L20 L24:L31">
    <cfRule type="cellIs" dxfId="38" priority="39" operator="equal">
      <formula>"Pass"</formula>
    </cfRule>
  </conditionalFormatting>
  <conditionalFormatting sqref="L37">
    <cfRule type="cellIs" dxfId="37" priority="38" operator="equal">
      <formula>"Fail"</formula>
    </cfRule>
  </conditionalFormatting>
  <conditionalFormatting sqref="L37:L38">
    <cfRule type="cellIs" dxfId="36" priority="37" operator="equal">
      <formula>"Pass"</formula>
    </cfRule>
  </conditionalFormatting>
  <conditionalFormatting sqref="L42">
    <cfRule type="cellIs" dxfId="35" priority="36" operator="equal">
      <formula>"Fail"</formula>
    </cfRule>
  </conditionalFormatting>
  <conditionalFormatting sqref="L42:L43">
    <cfRule type="cellIs" dxfId="34" priority="35" operator="equal">
      <formula>"Pass"</formula>
    </cfRule>
  </conditionalFormatting>
  <conditionalFormatting sqref="B14:D15">
    <cfRule type="top10" dxfId="33" priority="34" rank="1"/>
  </conditionalFormatting>
  <conditionalFormatting sqref="B19:D20">
    <cfRule type="top10" dxfId="32" priority="33" rank="1"/>
  </conditionalFormatting>
  <conditionalFormatting sqref="B24:D25">
    <cfRule type="top10" dxfId="31" priority="32" rank="1"/>
  </conditionalFormatting>
  <conditionalFormatting sqref="B26:D27">
    <cfRule type="top10" dxfId="30" priority="31" rank="1"/>
  </conditionalFormatting>
  <conditionalFormatting sqref="B28:D29">
    <cfRule type="top10" dxfId="29" priority="30" rank="1"/>
  </conditionalFormatting>
  <conditionalFormatting sqref="B30:D31">
    <cfRule type="top10" dxfId="28" priority="29" rank="1"/>
  </conditionalFormatting>
  <conditionalFormatting sqref="J26 J28 J30">
    <cfRule type="cellIs" dxfId="27" priority="27" operator="equal">
      <formula>-30</formula>
    </cfRule>
    <cfRule type="cellIs" dxfId="26" priority="28" operator="lessThan">
      <formula>10</formula>
    </cfRule>
  </conditionalFormatting>
  <conditionalFormatting sqref="J56 J61">
    <cfRule type="cellIs" dxfId="25" priority="26" operator="lessThan">
      <formula>10</formula>
    </cfRule>
  </conditionalFormatting>
  <conditionalFormatting sqref="J56">
    <cfRule type="cellIs" dxfId="24" priority="25" operator="equal">
      <formula>-36</formula>
    </cfRule>
  </conditionalFormatting>
  <conditionalFormatting sqref="L56 L61">
    <cfRule type="cellIs" dxfId="23" priority="24" operator="equal">
      <formula>"Fail"</formula>
    </cfRule>
  </conditionalFormatting>
  <conditionalFormatting sqref="J66">
    <cfRule type="cellIs" dxfId="22" priority="22" operator="equal">
      <formula>-30</formula>
    </cfRule>
    <cfRule type="cellIs" dxfId="21" priority="23" operator="lessThan">
      <formula>10</formula>
    </cfRule>
  </conditionalFormatting>
  <conditionalFormatting sqref="L66">
    <cfRule type="cellIs" dxfId="20" priority="21" operator="equal">
      <formula>"Fail"</formula>
    </cfRule>
  </conditionalFormatting>
  <conditionalFormatting sqref="L68">
    <cfRule type="cellIs" dxfId="19" priority="20" operator="equal">
      <formula>"Fail"</formula>
    </cfRule>
  </conditionalFormatting>
  <conditionalFormatting sqref="L70">
    <cfRule type="cellIs" dxfId="18" priority="19" operator="equal">
      <formula>"Fail"</formula>
    </cfRule>
  </conditionalFormatting>
  <conditionalFormatting sqref="L72">
    <cfRule type="cellIs" dxfId="17" priority="18" operator="equal">
      <formula>"Fail"</formula>
    </cfRule>
  </conditionalFormatting>
  <conditionalFormatting sqref="L56:L57 L61:L62 L66:L73">
    <cfRule type="cellIs" dxfId="16" priority="17" operator="equal">
      <formula>"Pass"</formula>
    </cfRule>
  </conditionalFormatting>
  <conditionalFormatting sqref="L79">
    <cfRule type="cellIs" dxfId="15" priority="16" operator="equal">
      <formula>"Fail"</formula>
    </cfRule>
  </conditionalFormatting>
  <conditionalFormatting sqref="L79:L80">
    <cfRule type="cellIs" dxfId="14" priority="15" operator="equal">
      <formula>"Pass"</formula>
    </cfRule>
  </conditionalFormatting>
  <conditionalFormatting sqref="L84">
    <cfRule type="cellIs" dxfId="13" priority="14" operator="equal">
      <formula>"Fail"</formula>
    </cfRule>
  </conditionalFormatting>
  <conditionalFormatting sqref="L84:L85">
    <cfRule type="cellIs" dxfId="12" priority="13" operator="equal">
      <formula>"Pass"</formula>
    </cfRule>
  </conditionalFormatting>
  <conditionalFormatting sqref="B66:D73">
    <cfRule type="top10" dxfId="11" priority="12" rank="1"/>
  </conditionalFormatting>
  <conditionalFormatting sqref="B68:D69">
    <cfRule type="top10" dxfId="10" priority="11" rank="1"/>
  </conditionalFormatting>
  <conditionalFormatting sqref="B70:D71">
    <cfRule type="top10" dxfId="9" priority="10" rank="1"/>
  </conditionalFormatting>
  <conditionalFormatting sqref="B72:D73">
    <cfRule type="top10" dxfId="8" priority="9" rank="1"/>
  </conditionalFormatting>
  <conditionalFormatting sqref="J68 J70 J72">
    <cfRule type="cellIs" dxfId="7" priority="7" operator="equal">
      <formula>-30</formula>
    </cfRule>
    <cfRule type="cellIs" dxfId="6" priority="8" operator="lessThan">
      <formula>10</formula>
    </cfRule>
  </conditionalFormatting>
  <conditionalFormatting sqref="B56:D57">
    <cfRule type="top10" dxfId="5" priority="6" rank="1"/>
  </conditionalFormatting>
  <conditionalFormatting sqref="B61:D62">
    <cfRule type="top10" dxfId="4" priority="5" rank="1"/>
  </conditionalFormatting>
  <conditionalFormatting sqref="B37:D38">
    <cfRule type="top10" dxfId="3" priority="4" rank="1"/>
  </conditionalFormatting>
  <conditionalFormatting sqref="B42:D43">
    <cfRule type="top10" dxfId="2" priority="3" rank="1"/>
  </conditionalFormatting>
  <conditionalFormatting sqref="B79:D80">
    <cfRule type="top10" dxfId="1" priority="2" rank="1"/>
  </conditionalFormatting>
  <conditionalFormatting sqref="B84:D85">
    <cfRule type="top10" dxfId="0" priority="1" rank="1"/>
  </conditionalFormatting>
  <dataValidations count="1">
    <dataValidation type="list" allowBlank="1" showInputMessage="1" showErrorMessage="1" sqref="M14 M19 M30 M24 M26 M28 M37:M38 M56 M61 M72 M66 M68 M70 M84:M85 M79:M80 M42:M43" xr:uid="{4D89939F-BE5E-4893-9FBF-F59407417CDF}">
      <formula1>"Fundamental, Harmonic, Noise Floor, -"</formula1>
    </dataValidation>
  </dataValidations>
  <pageMargins left="0.7" right="0.7" top="0.75" bottom="0.75" header="0.3" footer="0.3"/>
  <pageSetup paperSize="9" scale="27" orientation="portrait" r:id="rId1"/>
  <colBreaks count="1" manualBreakCount="1">
    <brk id="13" max="8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15</vt:i4>
      </vt:variant>
    </vt:vector>
  </HeadingPairs>
  <TitlesOfParts>
    <vt:vector size="30" baseType="lpstr">
      <vt:lpstr>Sub6 n1</vt:lpstr>
      <vt:lpstr>Sub6 n3</vt:lpstr>
      <vt:lpstr>Sub6 n5</vt:lpstr>
      <vt:lpstr>Sub6 n7</vt:lpstr>
      <vt:lpstr>Sub6 n8</vt:lpstr>
      <vt:lpstr>Sub6 n20</vt:lpstr>
      <vt:lpstr>Sub6 n26</vt:lpstr>
      <vt:lpstr>Sub6 n28</vt:lpstr>
      <vt:lpstr>Sub6 n38</vt:lpstr>
      <vt:lpstr>Sub6 n40</vt:lpstr>
      <vt:lpstr>Sub6 n41</vt:lpstr>
      <vt:lpstr>Sub6 n71</vt:lpstr>
      <vt:lpstr>Sub6 n77</vt:lpstr>
      <vt:lpstr>Sub6 n78</vt:lpstr>
      <vt:lpstr>Sub6 n79</vt:lpstr>
      <vt:lpstr>'Sub6 n1'!Print_Area</vt:lpstr>
      <vt:lpstr>'Sub6 n20'!Print_Area</vt:lpstr>
      <vt:lpstr>'Sub6 n26'!Print_Area</vt:lpstr>
      <vt:lpstr>'Sub6 n28'!Print_Area</vt:lpstr>
      <vt:lpstr>'Sub6 n3'!Print_Area</vt:lpstr>
      <vt:lpstr>'Sub6 n38'!Print_Area</vt:lpstr>
      <vt:lpstr>'Sub6 n40'!Print_Area</vt:lpstr>
      <vt:lpstr>'Sub6 n41'!Print_Area</vt:lpstr>
      <vt:lpstr>'Sub6 n5'!Print_Area</vt:lpstr>
      <vt:lpstr>'Sub6 n7'!Print_Area</vt:lpstr>
      <vt:lpstr>'Sub6 n71'!Print_Area</vt:lpstr>
      <vt:lpstr>'Sub6 n77'!Print_Area</vt:lpstr>
      <vt:lpstr>'Sub6 n78'!Print_Area</vt:lpstr>
      <vt:lpstr>'Sub6 n79'!Print_Area</vt:lpstr>
      <vt:lpstr>'Sub6 n8'!Print_Area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HCT-2767-김기현</dc:creator>
  <cp:lastModifiedBy>HCT-2970-이주현</cp:lastModifiedBy>
  <dcterms:created xsi:type="dcterms:W3CDTF">2026-01-28T01:34:22Z</dcterms:created>
  <dcterms:modified xsi:type="dcterms:W3CDTF">2026-03-16T04:15:33Z</dcterms:modified>
</cp:coreProperties>
</file>