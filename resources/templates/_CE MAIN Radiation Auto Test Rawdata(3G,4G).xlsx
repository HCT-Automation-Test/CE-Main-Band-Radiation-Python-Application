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USER\Desktop\RSE자동화 수정\"/>
    </mc:Choice>
  </mc:AlternateContent>
  <xr:revisionPtr revIDLastSave="0" documentId="13_ncr:1_{70B539FE-7A78-4C89-8027-3AF9F5D3F22B}" xr6:coauthVersionLast="47" xr6:coauthVersionMax="47" xr10:uidLastSave="{00000000-0000-0000-0000-000000000000}"/>
  <bookViews>
    <workbookView xWindow="-28920" yWindow="-75" windowWidth="29040" windowHeight="15720" activeTab="3" xr2:uid="{00000000-000D-0000-FFFF-FFFF00000000}"/>
  </bookViews>
  <sheets>
    <sheet name="WCDMA 1" sheetId="21" r:id="rId1"/>
    <sheet name="WCDMA 5" sheetId="34" r:id="rId2"/>
    <sheet name="WCDMA 8" sheetId="23" r:id="rId3"/>
    <sheet name="LTE_BAND 1" sheetId="12" r:id="rId4"/>
    <sheet name="LTE_BAND 3" sheetId="24" r:id="rId5"/>
    <sheet name="LTE_BAND 7" sheetId="25" r:id="rId6"/>
    <sheet name="LTE_BAND 5" sheetId="26" r:id="rId7"/>
    <sheet name="LTE_BAND 8" sheetId="15" r:id="rId8"/>
    <sheet name="LTE_BAND 20" sheetId="27" r:id="rId9"/>
    <sheet name="LTE_BAND 28" sheetId="28" r:id="rId10"/>
    <sheet name="LTE_BAND 34" sheetId="29" r:id="rId11"/>
    <sheet name="LTE_BAND 38" sheetId="18" r:id="rId12"/>
    <sheet name="LTE_BAND 40" sheetId="30" r:id="rId13"/>
    <sheet name="LTE_BAND 41" sheetId="31" r:id="rId14"/>
  </sheets>
  <definedNames>
    <definedName name="_xlnm.Print_Area" localSheetId="3">'LTE_BAND 1'!$A$1:$P$43</definedName>
    <definedName name="_xlnm.Print_Area" localSheetId="8">'LTE_BAND 20'!$A$1:$P$38</definedName>
    <definedName name="_xlnm.Print_Area" localSheetId="9">'LTE_BAND 28'!$A$1:$P$38</definedName>
    <definedName name="_xlnm.Print_Area" localSheetId="4">'LTE_BAND 3'!$A$1:$P$43</definedName>
    <definedName name="_xlnm.Print_Area" localSheetId="10">'LTE_BAND 34'!$A$1:$P$43</definedName>
    <definedName name="_xlnm.Print_Area" localSheetId="11">'LTE_BAND 38'!$A$1:$P$43</definedName>
    <definedName name="_xlnm.Print_Area" localSheetId="12">'LTE_BAND 40'!$A$1:$P$43</definedName>
    <definedName name="_xlnm.Print_Area" localSheetId="13">'LTE_BAND 41'!$A$1:$P$43</definedName>
    <definedName name="_xlnm.Print_Area" localSheetId="6">'LTE_BAND 5'!$A$1:$P$38</definedName>
    <definedName name="_xlnm.Print_Area" localSheetId="5">'LTE_BAND 7'!$A$1:$P$43</definedName>
    <definedName name="_xlnm.Print_Area" localSheetId="7">'LTE_BAND 8'!$A$1:$P$38</definedName>
    <definedName name="_xlnm.Print_Area" localSheetId="0">'WCDMA 1'!$A$1:$P$43</definedName>
    <definedName name="_xlnm.Print_Area" localSheetId="1">'WCDMA 5'!$A$1:$P$38</definedName>
    <definedName name="_xlnm.Print_Area" localSheetId="2">'WCDMA 8'!$A$1:$P$38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L37" i="34" l="1"/>
  <c r="H37" i="34"/>
  <c r="J37" i="34" s="1"/>
  <c r="G37" i="34"/>
  <c r="F37" i="34"/>
  <c r="L32" i="34"/>
  <c r="H32" i="34"/>
  <c r="J32" i="34" s="1"/>
  <c r="G32" i="34"/>
  <c r="F32" i="34"/>
  <c r="N26" i="34"/>
  <c r="N25" i="34"/>
  <c r="L25" i="34"/>
  <c r="J25" i="34"/>
  <c r="H25" i="34"/>
  <c r="G25" i="34"/>
  <c r="F25" i="34"/>
  <c r="A25" i="34"/>
  <c r="L23" i="34"/>
  <c r="H23" i="34"/>
  <c r="J23" i="34" s="1"/>
  <c r="G23" i="34"/>
  <c r="A23" i="34"/>
  <c r="F23" i="34" s="1"/>
  <c r="L21" i="34"/>
  <c r="H21" i="34"/>
  <c r="J21" i="34" s="1"/>
  <c r="G21" i="34"/>
  <c r="A21" i="34"/>
  <c r="F21" i="34" s="1"/>
  <c r="L19" i="34"/>
  <c r="H19" i="34"/>
  <c r="J19" i="34" s="1"/>
  <c r="G19" i="34"/>
  <c r="A19" i="34"/>
  <c r="F19" i="34" s="1"/>
  <c r="L14" i="34"/>
  <c r="H14" i="34"/>
  <c r="J14" i="34" s="1"/>
  <c r="G14" i="34"/>
  <c r="F14" i="34"/>
  <c r="L42" i="31"/>
  <c r="J42" i="31"/>
  <c r="H42" i="31"/>
  <c r="G42" i="31"/>
  <c r="F42" i="31"/>
  <c r="L37" i="31"/>
  <c r="H37" i="31"/>
  <c r="J37" i="31" s="1"/>
  <c r="G37" i="31"/>
  <c r="F37" i="31"/>
  <c r="N31" i="31"/>
  <c r="N30" i="31"/>
  <c r="L30" i="31"/>
  <c r="H30" i="31"/>
  <c r="J30" i="31" s="1"/>
  <c r="G30" i="31"/>
  <c r="F30" i="31"/>
  <c r="A30" i="31"/>
  <c r="L28" i="31"/>
  <c r="H28" i="31"/>
  <c r="J28" i="31" s="1"/>
  <c r="G28" i="31"/>
  <c r="A28" i="31"/>
  <c r="F28" i="31" s="1"/>
  <c r="L26" i="31"/>
  <c r="H26" i="31"/>
  <c r="J26" i="31" s="1"/>
  <c r="G26" i="31"/>
  <c r="A26" i="31"/>
  <c r="F26" i="31" s="1"/>
  <c r="L24" i="31"/>
  <c r="J24" i="31"/>
  <c r="H24" i="31"/>
  <c r="G24" i="31"/>
  <c r="F24" i="31"/>
  <c r="A24" i="31"/>
  <c r="F21" i="31"/>
  <c r="L19" i="31"/>
  <c r="H19" i="31"/>
  <c r="J19" i="31" s="1"/>
  <c r="G19" i="31"/>
  <c r="F19" i="31"/>
  <c r="F16" i="31"/>
  <c r="L14" i="31"/>
  <c r="H14" i="31"/>
  <c r="J14" i="31" s="1"/>
  <c r="G14" i="31"/>
  <c r="F14" i="31"/>
  <c r="F11" i="31"/>
  <c r="L42" i="30"/>
  <c r="J42" i="30"/>
  <c r="H42" i="30"/>
  <c r="G42" i="30"/>
  <c r="F42" i="30"/>
  <c r="L37" i="30"/>
  <c r="H37" i="30"/>
  <c r="J37" i="30" s="1"/>
  <c r="G37" i="30"/>
  <c r="F37" i="30"/>
  <c r="N31" i="30"/>
  <c r="N30" i="30"/>
  <c r="L30" i="30"/>
  <c r="H30" i="30"/>
  <c r="J30" i="30" s="1"/>
  <c r="G30" i="30"/>
  <c r="A30" i="30"/>
  <c r="F30" i="30" s="1"/>
  <c r="L28" i="30"/>
  <c r="J28" i="30"/>
  <c r="H28" i="30"/>
  <c r="G28" i="30"/>
  <c r="A28" i="30"/>
  <c r="F28" i="30" s="1"/>
  <c r="L26" i="30"/>
  <c r="H26" i="30"/>
  <c r="J26" i="30" s="1"/>
  <c r="G26" i="30"/>
  <c r="A26" i="30"/>
  <c r="F26" i="30" s="1"/>
  <c r="L24" i="30"/>
  <c r="J24" i="30"/>
  <c r="H24" i="30"/>
  <c r="G24" i="30"/>
  <c r="A24" i="30"/>
  <c r="F24" i="30" s="1"/>
  <c r="F21" i="30"/>
  <c r="L19" i="30"/>
  <c r="H19" i="30"/>
  <c r="J19" i="30" s="1"/>
  <c r="G19" i="30"/>
  <c r="F19" i="30"/>
  <c r="F16" i="30"/>
  <c r="L14" i="30"/>
  <c r="H14" i="30"/>
  <c r="J14" i="30" s="1"/>
  <c r="G14" i="30"/>
  <c r="F14" i="30"/>
  <c r="F11" i="30"/>
  <c r="L42" i="29"/>
  <c r="H42" i="29"/>
  <c r="J42" i="29" s="1"/>
  <c r="G42" i="29"/>
  <c r="F42" i="29"/>
  <c r="L37" i="29"/>
  <c r="H37" i="29"/>
  <c r="J37" i="29" s="1"/>
  <c r="G37" i="29"/>
  <c r="F37" i="29"/>
  <c r="N31" i="29"/>
  <c r="N30" i="29"/>
  <c r="L30" i="29"/>
  <c r="J30" i="29"/>
  <c r="H30" i="29"/>
  <c r="G30" i="29"/>
  <c r="F30" i="29"/>
  <c r="A30" i="29"/>
  <c r="L28" i="29"/>
  <c r="H28" i="29"/>
  <c r="J28" i="29" s="1"/>
  <c r="G28" i="29"/>
  <c r="A28" i="29"/>
  <c r="F28" i="29" s="1"/>
  <c r="L26" i="29"/>
  <c r="H26" i="29"/>
  <c r="J26" i="29" s="1"/>
  <c r="G26" i="29"/>
  <c r="A26" i="29"/>
  <c r="F26" i="29" s="1"/>
  <c r="L24" i="29"/>
  <c r="H24" i="29"/>
  <c r="J24" i="29" s="1"/>
  <c r="G24" i="29"/>
  <c r="A24" i="29"/>
  <c r="F24" i="29" s="1"/>
  <c r="F21" i="29"/>
  <c r="L19" i="29"/>
  <c r="H19" i="29"/>
  <c r="J19" i="29" s="1"/>
  <c r="G19" i="29"/>
  <c r="F19" i="29"/>
  <c r="F16" i="29"/>
  <c r="L14" i="29"/>
  <c r="H14" i="29"/>
  <c r="J14" i="29" s="1"/>
  <c r="G14" i="29"/>
  <c r="F14" i="29"/>
  <c r="F11" i="29"/>
  <c r="L37" i="28"/>
  <c r="J37" i="28"/>
  <c r="H37" i="28"/>
  <c r="G37" i="28"/>
  <c r="F37" i="28"/>
  <c r="L32" i="28"/>
  <c r="H32" i="28"/>
  <c r="J32" i="28" s="1"/>
  <c r="G32" i="28"/>
  <c r="F32" i="28"/>
  <c r="N26" i="28"/>
  <c r="N25" i="28"/>
  <c r="L25" i="28"/>
  <c r="H25" i="28"/>
  <c r="J25" i="28" s="1"/>
  <c r="G25" i="28"/>
  <c r="F25" i="28"/>
  <c r="A25" i="28"/>
  <c r="L23" i="28"/>
  <c r="H23" i="28"/>
  <c r="J23" i="28" s="1"/>
  <c r="G23" i="28"/>
  <c r="A23" i="28"/>
  <c r="F23" i="28" s="1"/>
  <c r="L21" i="28"/>
  <c r="H21" i="28"/>
  <c r="J21" i="28" s="1"/>
  <c r="G21" i="28"/>
  <c r="A21" i="28"/>
  <c r="F21" i="28" s="1"/>
  <c r="L19" i="28"/>
  <c r="J19" i="28"/>
  <c r="H19" i="28"/>
  <c r="G19" i="28"/>
  <c r="F19" i="28"/>
  <c r="A19" i="28"/>
  <c r="L14" i="28"/>
  <c r="H14" i="28"/>
  <c r="J14" i="28" s="1"/>
  <c r="G14" i="28"/>
  <c r="F14" i="28"/>
  <c r="L37" i="27"/>
  <c r="J37" i="27"/>
  <c r="H37" i="27"/>
  <c r="G37" i="27"/>
  <c r="F37" i="27"/>
  <c r="L32" i="27"/>
  <c r="J32" i="27"/>
  <c r="H32" i="27"/>
  <c r="G32" i="27"/>
  <c r="F32" i="27"/>
  <c r="N26" i="27"/>
  <c r="N25" i="27"/>
  <c r="L25" i="27"/>
  <c r="H25" i="27"/>
  <c r="J25" i="27" s="1"/>
  <c r="G25" i="27"/>
  <c r="A25" i="27"/>
  <c r="F25" i="27" s="1"/>
  <c r="L23" i="27"/>
  <c r="H23" i="27"/>
  <c r="J23" i="27" s="1"/>
  <c r="G23" i="27"/>
  <c r="F23" i="27"/>
  <c r="A23" i="27"/>
  <c r="L21" i="27"/>
  <c r="H21" i="27"/>
  <c r="J21" i="27" s="1"/>
  <c r="G21" i="27"/>
  <c r="A21" i="27"/>
  <c r="F21" i="27" s="1"/>
  <c r="L19" i="27"/>
  <c r="J19" i="27"/>
  <c r="H19" i="27"/>
  <c r="G19" i="27"/>
  <c r="A19" i="27"/>
  <c r="F19" i="27" s="1"/>
  <c r="L14" i="27"/>
  <c r="H14" i="27"/>
  <c r="J14" i="27" s="1"/>
  <c r="G14" i="27"/>
  <c r="F14" i="27"/>
  <c r="L37" i="26"/>
  <c r="H37" i="26"/>
  <c r="J37" i="26" s="1"/>
  <c r="G37" i="26"/>
  <c r="F37" i="26"/>
  <c r="L32" i="26"/>
  <c r="H32" i="26"/>
  <c r="J32" i="26" s="1"/>
  <c r="G32" i="26"/>
  <c r="F32" i="26"/>
  <c r="N26" i="26"/>
  <c r="N25" i="26"/>
  <c r="L25" i="26"/>
  <c r="J25" i="26"/>
  <c r="H25" i="26"/>
  <c r="G25" i="26"/>
  <c r="A25" i="26"/>
  <c r="F25" i="26" s="1"/>
  <c r="L23" i="26"/>
  <c r="H23" i="26"/>
  <c r="J23" i="26" s="1"/>
  <c r="G23" i="26"/>
  <c r="A23" i="26"/>
  <c r="F23" i="26" s="1"/>
  <c r="L21" i="26"/>
  <c r="H21" i="26"/>
  <c r="J21" i="26" s="1"/>
  <c r="G21" i="26"/>
  <c r="A21" i="26"/>
  <c r="F21" i="26" s="1"/>
  <c r="L19" i="26"/>
  <c r="H19" i="26"/>
  <c r="J19" i="26" s="1"/>
  <c r="G19" i="26"/>
  <c r="F19" i="26"/>
  <c r="A19" i="26"/>
  <c r="L14" i="26"/>
  <c r="J14" i="26"/>
  <c r="H14" i="26"/>
  <c r="G14" i="26"/>
  <c r="F14" i="26"/>
  <c r="L42" i="25"/>
  <c r="J42" i="25"/>
  <c r="H42" i="25"/>
  <c r="G42" i="25"/>
  <c r="F42" i="25"/>
  <c r="L37" i="25"/>
  <c r="H37" i="25"/>
  <c r="J37" i="25" s="1"/>
  <c r="G37" i="25"/>
  <c r="F37" i="25"/>
  <c r="N31" i="25"/>
  <c r="N30" i="25"/>
  <c r="L30" i="25"/>
  <c r="H30" i="25"/>
  <c r="J30" i="25" s="1"/>
  <c r="G30" i="25"/>
  <c r="A30" i="25"/>
  <c r="F30" i="25" s="1"/>
  <c r="L28" i="25"/>
  <c r="H28" i="25"/>
  <c r="J28" i="25" s="1"/>
  <c r="G28" i="25"/>
  <c r="A28" i="25"/>
  <c r="F28" i="25" s="1"/>
  <c r="L26" i="25"/>
  <c r="J26" i="25"/>
  <c r="H26" i="25"/>
  <c r="G26" i="25"/>
  <c r="A26" i="25"/>
  <c r="F26" i="25" s="1"/>
  <c r="L24" i="25"/>
  <c r="H24" i="25"/>
  <c r="J24" i="25" s="1"/>
  <c r="G24" i="25"/>
  <c r="F24" i="25"/>
  <c r="A24" i="25"/>
  <c r="F21" i="25"/>
  <c r="L19" i="25"/>
  <c r="H19" i="25"/>
  <c r="J19" i="25" s="1"/>
  <c r="G19" i="25"/>
  <c r="F19" i="25"/>
  <c r="F16" i="25"/>
  <c r="L14" i="25"/>
  <c r="H14" i="25"/>
  <c r="J14" i="25" s="1"/>
  <c r="G14" i="25"/>
  <c r="F14" i="25"/>
  <c r="F11" i="25"/>
  <c r="L42" i="24"/>
  <c r="H42" i="24"/>
  <c r="J42" i="24" s="1"/>
  <c r="G42" i="24"/>
  <c r="F42" i="24"/>
  <c r="L37" i="24"/>
  <c r="H37" i="24"/>
  <c r="J37" i="24" s="1"/>
  <c r="G37" i="24"/>
  <c r="F37" i="24"/>
  <c r="N31" i="24"/>
  <c r="N30" i="24"/>
  <c r="L30" i="24"/>
  <c r="J30" i="24"/>
  <c r="H30" i="24"/>
  <c r="G30" i="24"/>
  <c r="F30" i="24"/>
  <c r="A30" i="24"/>
  <c r="L28" i="24"/>
  <c r="H28" i="24"/>
  <c r="J28" i="24" s="1"/>
  <c r="G28" i="24"/>
  <c r="A28" i="24"/>
  <c r="F28" i="24" s="1"/>
  <c r="L26" i="24"/>
  <c r="H26" i="24"/>
  <c r="J26" i="24" s="1"/>
  <c r="G26" i="24"/>
  <c r="A26" i="24"/>
  <c r="F26" i="24" s="1"/>
  <c r="L24" i="24"/>
  <c r="H24" i="24"/>
  <c r="J24" i="24" s="1"/>
  <c r="G24" i="24"/>
  <c r="A24" i="24"/>
  <c r="F24" i="24" s="1"/>
  <c r="F21" i="24"/>
  <c r="L19" i="24"/>
  <c r="H19" i="24"/>
  <c r="J19" i="24" s="1"/>
  <c r="G19" i="24"/>
  <c r="F19" i="24"/>
  <c r="F16" i="24"/>
  <c r="L14" i="24"/>
  <c r="H14" i="24"/>
  <c r="J14" i="24" s="1"/>
  <c r="G14" i="24"/>
  <c r="F14" i="24"/>
  <c r="F11" i="24"/>
  <c r="A21" i="23"/>
  <c r="A21" i="15" l="1"/>
  <c r="A25" i="23" l="1"/>
  <c r="A23" i="23"/>
  <c r="A19" i="23"/>
  <c r="A30" i="21"/>
  <c r="A28" i="21"/>
  <c r="A26" i="21"/>
  <c r="A24" i="21"/>
  <c r="N25" i="23" l="1"/>
  <c r="N30" i="21" l="1"/>
  <c r="L37" i="23"/>
  <c r="H37" i="23"/>
  <c r="J37" i="23" s="1"/>
  <c r="G37" i="23"/>
  <c r="F37" i="23"/>
  <c r="L32" i="23"/>
  <c r="H32" i="23"/>
  <c r="J32" i="23" s="1"/>
  <c r="G32" i="23"/>
  <c r="F32" i="23"/>
  <c r="N26" i="23"/>
  <c r="L25" i="23"/>
  <c r="H25" i="23"/>
  <c r="J25" i="23" s="1"/>
  <c r="G25" i="23"/>
  <c r="F25" i="23"/>
  <c r="L23" i="23"/>
  <c r="H23" i="23"/>
  <c r="J23" i="23" s="1"/>
  <c r="G23" i="23"/>
  <c r="F23" i="23"/>
  <c r="L21" i="23"/>
  <c r="H21" i="23"/>
  <c r="J21" i="23" s="1"/>
  <c r="G21" i="23"/>
  <c r="F21" i="23"/>
  <c r="L19" i="23"/>
  <c r="J19" i="23"/>
  <c r="H19" i="23"/>
  <c r="G19" i="23"/>
  <c r="F19" i="23"/>
  <c r="L14" i="23"/>
  <c r="H14" i="23"/>
  <c r="J14" i="23" s="1"/>
  <c r="G14" i="23"/>
  <c r="F14" i="23"/>
  <c r="L42" i="21"/>
  <c r="H42" i="21"/>
  <c r="J42" i="21" s="1"/>
  <c r="G42" i="21"/>
  <c r="F42" i="21"/>
  <c r="L37" i="21"/>
  <c r="H37" i="21"/>
  <c r="J37" i="21" s="1"/>
  <c r="G37" i="21"/>
  <c r="F37" i="21"/>
  <c r="N31" i="21"/>
  <c r="L30" i="21"/>
  <c r="H30" i="21"/>
  <c r="J30" i="21" s="1"/>
  <c r="G30" i="21"/>
  <c r="F30" i="21"/>
  <c r="L28" i="21"/>
  <c r="H28" i="21"/>
  <c r="J28" i="21" s="1"/>
  <c r="G28" i="21"/>
  <c r="F28" i="21"/>
  <c r="H26" i="21"/>
  <c r="J26" i="21" s="1"/>
  <c r="L26" i="21" s="1"/>
  <c r="G26" i="21"/>
  <c r="F26" i="21"/>
  <c r="L24" i="21"/>
  <c r="H24" i="21"/>
  <c r="J24" i="21" s="1"/>
  <c r="G24" i="21"/>
  <c r="F24" i="21"/>
  <c r="F21" i="21"/>
  <c r="L19" i="21"/>
  <c r="H19" i="21"/>
  <c r="J19" i="21" s="1"/>
  <c r="G19" i="21"/>
  <c r="F19" i="21"/>
  <c r="F16" i="21"/>
  <c r="L14" i="21"/>
  <c r="H14" i="21"/>
  <c r="J14" i="21" s="1"/>
  <c r="G14" i="21"/>
  <c r="F14" i="21"/>
  <c r="F11" i="21"/>
  <c r="L42" i="18"/>
  <c r="H42" i="18"/>
  <c r="J42" i="18" s="1"/>
  <c r="G42" i="18"/>
  <c r="F42" i="18"/>
  <c r="L37" i="18"/>
  <c r="H37" i="18"/>
  <c r="J37" i="18" s="1"/>
  <c r="G37" i="18"/>
  <c r="F37" i="18"/>
  <c r="N31" i="18"/>
  <c r="N30" i="18"/>
  <c r="L30" i="18"/>
  <c r="H30" i="18"/>
  <c r="J30" i="18" s="1"/>
  <c r="G30" i="18"/>
  <c r="A30" i="18"/>
  <c r="F30" i="18" s="1"/>
  <c r="L28" i="18"/>
  <c r="H28" i="18"/>
  <c r="J28" i="18" s="1"/>
  <c r="G28" i="18"/>
  <c r="A28" i="18"/>
  <c r="L26" i="18"/>
  <c r="H26" i="18"/>
  <c r="J26" i="18" s="1"/>
  <c r="G26" i="18"/>
  <c r="A26" i="18"/>
  <c r="F26" i="18" s="1"/>
  <c r="L24" i="18"/>
  <c r="H24" i="18"/>
  <c r="J24" i="18" s="1"/>
  <c r="G24" i="18"/>
  <c r="A24" i="18"/>
  <c r="F24" i="18" s="1"/>
  <c r="F21" i="18"/>
  <c r="L19" i="18"/>
  <c r="H19" i="18"/>
  <c r="J19" i="18" s="1"/>
  <c r="G19" i="18"/>
  <c r="F19" i="18"/>
  <c r="F16" i="18"/>
  <c r="L14" i="18"/>
  <c r="H14" i="18"/>
  <c r="J14" i="18" s="1"/>
  <c r="G14" i="18"/>
  <c r="F14" i="18"/>
  <c r="F11" i="18"/>
  <c r="L37" i="15"/>
  <c r="H37" i="15"/>
  <c r="J37" i="15" s="1"/>
  <c r="G37" i="15"/>
  <c r="F37" i="15"/>
  <c r="L32" i="15"/>
  <c r="H32" i="15"/>
  <c r="J32" i="15" s="1"/>
  <c r="G32" i="15"/>
  <c r="F32" i="15"/>
  <c r="N26" i="15"/>
  <c r="N25" i="15"/>
  <c r="L25" i="15"/>
  <c r="H25" i="15"/>
  <c r="J25" i="15" s="1"/>
  <c r="G25" i="15"/>
  <c r="A25" i="15"/>
  <c r="F25" i="15" s="1"/>
  <c r="L23" i="15"/>
  <c r="H23" i="15"/>
  <c r="J23" i="15" s="1"/>
  <c r="G23" i="15"/>
  <c r="A23" i="15"/>
  <c r="F23" i="15" s="1"/>
  <c r="L21" i="15"/>
  <c r="H21" i="15"/>
  <c r="J21" i="15" s="1"/>
  <c r="G21" i="15"/>
  <c r="F21" i="15"/>
  <c r="L19" i="15"/>
  <c r="H19" i="15"/>
  <c r="J19" i="15" s="1"/>
  <c r="G19" i="15"/>
  <c r="A19" i="15"/>
  <c r="F19" i="15" s="1"/>
  <c r="L14" i="15"/>
  <c r="H14" i="15"/>
  <c r="J14" i="15" s="1"/>
  <c r="G14" i="15"/>
  <c r="F14" i="15"/>
  <c r="F28" i="18" l="1"/>
  <c r="N31" i="12" l="1"/>
  <c r="N30" i="12"/>
  <c r="A30" i="12" l="1"/>
  <c r="A28" i="12"/>
  <c r="A26" i="12"/>
  <c r="A24" i="12"/>
  <c r="F11" i="12"/>
  <c r="F21" i="12"/>
  <c r="F16" i="12"/>
  <c r="L42" i="12" l="1"/>
  <c r="H42" i="12"/>
  <c r="J42" i="12" s="1"/>
  <c r="G42" i="12"/>
  <c r="F42" i="12"/>
  <c r="L37" i="12"/>
  <c r="H37" i="12"/>
  <c r="J37" i="12" s="1"/>
  <c r="G37" i="12"/>
  <c r="F37" i="12"/>
  <c r="L30" i="12"/>
  <c r="H30" i="12"/>
  <c r="J30" i="12" s="1"/>
  <c r="G30" i="12"/>
  <c r="L28" i="12"/>
  <c r="H28" i="12"/>
  <c r="J28" i="12" s="1"/>
  <c r="G28" i="12"/>
  <c r="F28" i="12"/>
  <c r="L26" i="12"/>
  <c r="H26" i="12"/>
  <c r="J26" i="12" s="1"/>
  <c r="G26" i="12"/>
  <c r="H24" i="12"/>
  <c r="G24" i="12"/>
  <c r="F24" i="12"/>
  <c r="L19" i="12"/>
  <c r="H19" i="12"/>
  <c r="J19" i="12" s="1"/>
  <c r="G19" i="12"/>
  <c r="F19" i="12"/>
  <c r="L14" i="12"/>
  <c r="H14" i="12"/>
  <c r="J14" i="12" s="1"/>
  <c r="G14" i="12"/>
  <c r="F14" i="12"/>
  <c r="J24" i="12" l="1"/>
  <c r="L24" i="12" s="1"/>
  <c r="F26" i="12"/>
  <c r="F30" i="12"/>
</calcChain>
</file>

<file path=xl/sharedStrings.xml><?xml version="1.0" encoding="utf-8"?>
<sst xmlns="http://schemas.openxmlformats.org/spreadsheetml/2006/main" count="1689" uniqueCount="66">
  <si>
    <t>H</t>
  </si>
  <si>
    <t>V</t>
  </si>
  <si>
    <t>Pol.</t>
    <phoneticPr fontId="4" type="noConversion"/>
  </si>
  <si>
    <t>Z</t>
    <phoneticPr fontId="4" type="noConversion"/>
  </si>
  <si>
    <t>X</t>
    <phoneticPr fontId="4" type="noConversion"/>
  </si>
  <si>
    <t>30M - 1G</t>
    <phoneticPr fontId="1" type="noConversion"/>
  </si>
  <si>
    <t>30M-1G</t>
    <phoneticPr fontId="1" type="noConversion"/>
  </si>
  <si>
    <t>Note</t>
  </si>
  <si>
    <t>RMS</t>
    <phoneticPr fontId="1" type="noConversion"/>
  </si>
  <si>
    <t>Detector</t>
  </si>
  <si>
    <t>Harmonic</t>
  </si>
  <si>
    <t>-</t>
  </si>
  <si>
    <t>TRAFFIC MODE</t>
    <phoneticPr fontId="1" type="noConversion"/>
  </si>
  <si>
    <t>IDLE MODE</t>
    <phoneticPr fontId="1" type="noConversion"/>
  </si>
  <si>
    <t>TEST DATE</t>
  </si>
  <si>
    <t>X</t>
    <phoneticPr fontId="1" type="noConversion"/>
  </si>
  <si>
    <t>Y</t>
    <phoneticPr fontId="1" type="noConversion"/>
  </si>
  <si>
    <t>Z</t>
    <phoneticPr fontId="1" type="noConversion"/>
  </si>
  <si>
    <t>Pol.</t>
    <phoneticPr fontId="1" type="noConversion"/>
  </si>
  <si>
    <t>Result</t>
    <phoneticPr fontId="4" type="noConversion"/>
  </si>
  <si>
    <t>Band</t>
    <phoneticPr fontId="1" type="noConversion"/>
  </si>
  <si>
    <t>RB Size</t>
    <phoneticPr fontId="1" type="noConversion"/>
  </si>
  <si>
    <t>RB Offset</t>
    <phoneticPr fontId="1" type="noConversion"/>
  </si>
  <si>
    <t>Channel</t>
    <phoneticPr fontId="1" type="noConversion"/>
  </si>
  <si>
    <t>B1</t>
    <phoneticPr fontId="1" type="noConversion"/>
  </si>
  <si>
    <t>BW(MHz)</t>
    <phoneticPr fontId="1" type="noConversion"/>
  </si>
  <si>
    <t>Mod</t>
    <phoneticPr fontId="1" type="noConversion"/>
  </si>
  <si>
    <t>Spurious</t>
    <phoneticPr fontId="1" type="noConversion"/>
  </si>
  <si>
    <t>V</t>
    <phoneticPr fontId="1" type="noConversion"/>
  </si>
  <si>
    <t>H</t>
    <phoneticPr fontId="1" type="noConversion"/>
  </si>
  <si>
    <t>Level
(dBm)</t>
    <phoneticPr fontId="4" type="noConversion"/>
  </si>
  <si>
    <t>B8</t>
    <phoneticPr fontId="1" type="noConversion"/>
  </si>
  <si>
    <t>1 - 3G</t>
    <phoneticPr fontId="1" type="noConversion"/>
  </si>
  <si>
    <t>3 - 12.75G - 2nd, 3rd, 4th, 5th</t>
    <phoneticPr fontId="1" type="noConversion"/>
  </si>
  <si>
    <t>1 - 12.75G</t>
    <phoneticPr fontId="1" type="noConversion"/>
  </si>
  <si>
    <t>Test Range</t>
    <phoneticPr fontId="4" type="noConversion"/>
  </si>
  <si>
    <t>30 MHz - 1 GHz  / Limit : -36dBm / RBW : 100kHz</t>
    <phoneticPr fontId="4" type="noConversion"/>
  </si>
  <si>
    <t>Ant</t>
    <phoneticPr fontId="4" type="noConversion"/>
  </si>
  <si>
    <t>SCS(kHz)</t>
    <phoneticPr fontId="1" type="noConversion"/>
  </si>
  <si>
    <t>Fundamental Freq.(MHz)</t>
    <phoneticPr fontId="1" type="noConversion"/>
  </si>
  <si>
    <t>TRAFFIC TEST RESULT</t>
    <phoneticPr fontId="1" type="noConversion"/>
  </si>
  <si>
    <t>IDLE TEST RESULT</t>
    <phoneticPr fontId="1" type="noConversion"/>
  </si>
  <si>
    <t>Limit
(dBm)</t>
    <phoneticPr fontId="4" type="noConversion"/>
  </si>
  <si>
    <t>Margin
(dBm)</t>
    <phoneticPr fontId="4" type="noConversion"/>
  </si>
  <si>
    <t>Freq.(MHz)</t>
    <phoneticPr fontId="4" type="noConversion"/>
  </si>
  <si>
    <t>1 - 12.75GHz / Limit : -30dBm / RBW : 1MHz</t>
    <phoneticPr fontId="4" type="noConversion"/>
  </si>
  <si>
    <t>1 - 12.75G - 2nd, 3rd, 4th, 5th</t>
    <phoneticPr fontId="1" type="noConversion"/>
  </si>
  <si>
    <r>
      <rPr>
        <b/>
        <sz val="10"/>
        <color rgb="FF404040"/>
        <rFont val="맑은 고딕"/>
        <family val="3"/>
        <charset val="129"/>
      </rPr>
      <t>시험원</t>
    </r>
  </si>
  <si>
    <t>LTE</t>
    <phoneticPr fontId="1" type="noConversion"/>
  </si>
  <si>
    <t>B38</t>
    <phoneticPr fontId="1" type="noConversion"/>
  </si>
  <si>
    <t>W1</t>
    <phoneticPr fontId="1" type="noConversion"/>
  </si>
  <si>
    <t>WCDMA</t>
    <phoneticPr fontId="1" type="noConversion"/>
  </si>
  <si>
    <t>W8</t>
    <phoneticPr fontId="1" type="noConversion"/>
  </si>
  <si>
    <t>Channel</t>
    <phoneticPr fontId="1" type="noConversion"/>
  </si>
  <si>
    <t>Ant</t>
    <phoneticPr fontId="1" type="noConversion"/>
  </si>
  <si>
    <t>Fundamental Freq.(MHz)</t>
    <phoneticPr fontId="1" type="noConversion"/>
  </si>
  <si>
    <t>Channel</t>
    <phoneticPr fontId="4" type="noConversion"/>
  </si>
  <si>
    <t>B3</t>
    <phoneticPr fontId="1" type="noConversion"/>
  </si>
  <si>
    <t>B7</t>
    <phoneticPr fontId="1" type="noConversion"/>
  </si>
  <si>
    <t>B5</t>
    <phoneticPr fontId="1" type="noConversion"/>
  </si>
  <si>
    <t>B20</t>
    <phoneticPr fontId="1" type="noConversion"/>
  </si>
  <si>
    <t>B28</t>
    <phoneticPr fontId="1" type="noConversion"/>
  </si>
  <si>
    <t>B34</t>
    <phoneticPr fontId="1" type="noConversion"/>
  </si>
  <si>
    <t>B40</t>
    <phoneticPr fontId="1" type="noConversion"/>
  </si>
  <si>
    <t>B41</t>
    <phoneticPr fontId="1" type="noConversion"/>
  </si>
  <si>
    <t>W5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</si>
</sst>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2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Arial"/>
      <family val="2"/>
    </font>
    <font>
      <sz val="9"/>
      <name val="Arial"/>
      <family val="2"/>
    </font>
    <font>
      <sz val="8"/>
      <name val="돋움"/>
      <family val="3"/>
      <charset val="129"/>
    </font>
    <font>
      <b/>
      <sz val="11"/>
      <color theme="1"/>
      <name val="Arial"/>
      <family val="2"/>
    </font>
    <font>
      <b/>
      <sz val="11"/>
      <name val="Arial"/>
      <family val="2"/>
    </font>
    <font>
      <b/>
      <sz val="10"/>
      <color rgb="FF404040"/>
      <name val="맑은 고딕"/>
      <family val="3"/>
      <charset val="129"/>
    </font>
    <font>
      <sz val="11"/>
      <color rgb="FF000000"/>
      <name val="Noto Sans KR Regular"/>
      <family val="3"/>
      <charset val="129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b/>
      <sz val="16"/>
      <color theme="1"/>
      <name val="Arial"/>
      <family val="2"/>
    </font>
    <font>
      <b/>
      <sz val="16"/>
      <color rgb="FFFFFFFF"/>
      <name val="Arial"/>
      <family val="2"/>
    </font>
    <font>
      <sz val="11"/>
      <name val="Noto Sans KR Regular"/>
      <family val="3"/>
      <charset val="129"/>
    </font>
    <font>
      <b/>
      <sz val="20"/>
      <color rgb="FFFFFFFF"/>
      <name val="Arial"/>
      <family val="2"/>
    </font>
    <font>
      <b/>
      <sz val="10"/>
      <color rgb="FF404040"/>
      <name val="Arial"/>
      <family val="2"/>
    </font>
    <font>
      <sz val="11"/>
      <color rgb="FF000000"/>
      <name val="Arial"/>
      <family val="2"/>
    </font>
    <font>
      <b/>
      <sz val="11"/>
      <color rgb="FF000000"/>
      <name val="Arial"/>
      <family val="2"/>
    </font>
    <font>
      <sz val="11"/>
      <name val="Arial"/>
      <family val="2"/>
    </font>
    <font>
      <b/>
      <u/>
      <sz val="11"/>
      <color rgb="FF000000"/>
      <name val="Arial"/>
      <family val="2"/>
    </font>
    <font>
      <sz val="9"/>
      <color theme="1"/>
      <name val="Arial"/>
      <family val="2"/>
    </font>
    <font>
      <b/>
      <sz val="10"/>
      <name val="Arial"/>
      <family val="2"/>
    </font>
    <font>
      <b/>
      <sz val="11.5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B4C6E7"/>
        <bgColor indexed="64"/>
      </patternFill>
    </fill>
    <fill>
      <patternFill patternType="solid">
        <fgColor theme="8" tint="0.79998168889431442"/>
        <bgColor indexed="64"/>
      </patternFill>
    </fill>
  </fills>
  <borders count="13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theme="1"/>
      </left>
      <right/>
      <top style="medium">
        <color theme="1"/>
      </top>
      <bottom/>
      <diagonal/>
    </border>
    <border>
      <left/>
      <right/>
      <top style="medium">
        <color theme="1"/>
      </top>
      <bottom/>
      <diagonal/>
    </border>
    <border>
      <left/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/>
      <top/>
      <bottom/>
      <diagonal/>
    </border>
    <border>
      <left/>
      <right style="medium">
        <color theme="1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medium">
        <color theme="1"/>
      </right>
      <top style="thin">
        <color indexed="64"/>
      </top>
      <bottom style="thin">
        <color indexed="64"/>
      </bottom>
      <diagonal/>
    </border>
    <border>
      <left style="medium">
        <color theme="1"/>
      </left>
      <right/>
      <top style="medium">
        <color theme="1"/>
      </top>
      <bottom style="medium">
        <color theme="1"/>
      </bottom>
      <diagonal/>
    </border>
    <border>
      <left/>
      <right/>
      <top style="medium">
        <color theme="1"/>
      </top>
      <bottom style="medium">
        <color theme="1"/>
      </bottom>
      <diagonal/>
    </border>
    <border>
      <left/>
      <right style="medium">
        <color theme="1"/>
      </right>
      <top style="medium">
        <color theme="1"/>
      </top>
      <bottom style="medium">
        <color theme="1"/>
      </bottom>
      <diagonal/>
    </border>
    <border>
      <left/>
      <right style="medium">
        <color theme="1"/>
      </right>
      <top style="thin">
        <color indexed="64"/>
      </top>
      <bottom style="medium">
        <color theme="1"/>
      </bottom>
      <diagonal/>
    </border>
    <border>
      <left style="medium">
        <color theme="1"/>
      </left>
      <right style="thin">
        <color theme="1"/>
      </right>
      <top style="medium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theme="1"/>
      </top>
      <bottom style="thin">
        <color theme="1"/>
      </bottom>
      <diagonal/>
    </border>
    <border>
      <left style="thin">
        <color theme="1"/>
      </left>
      <right style="medium">
        <color theme="1"/>
      </right>
      <top style="medium">
        <color theme="1"/>
      </top>
      <bottom style="thin">
        <color theme="1"/>
      </bottom>
      <diagonal/>
    </border>
    <border>
      <left style="medium">
        <color theme="1"/>
      </left>
      <right style="thin">
        <color theme="1"/>
      </right>
      <top style="thin">
        <color theme="1"/>
      </top>
      <bottom style="medium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medium">
        <color theme="1"/>
      </bottom>
      <diagonal/>
    </border>
    <border>
      <left style="thin">
        <color theme="1"/>
      </left>
      <right style="medium">
        <color theme="1"/>
      </right>
      <top style="thin">
        <color theme="1"/>
      </top>
      <bottom style="medium">
        <color theme="1"/>
      </bottom>
      <diagonal/>
    </border>
    <border>
      <left style="thin">
        <color theme="1"/>
      </left>
      <right/>
      <top/>
      <bottom/>
      <diagonal/>
    </border>
    <border>
      <left style="medium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/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medium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medium">
        <color theme="1"/>
      </left>
      <right style="thin">
        <color theme="1"/>
      </right>
      <top/>
      <bottom style="medium">
        <color theme="1"/>
      </bottom>
      <diagonal/>
    </border>
    <border>
      <left/>
      <right/>
      <top/>
      <bottom style="thin">
        <color theme="1"/>
      </bottom>
      <diagonal/>
    </border>
    <border>
      <left style="medium">
        <color theme="1"/>
      </left>
      <right/>
      <top/>
      <bottom style="thin">
        <color theme="1"/>
      </bottom>
      <diagonal/>
    </border>
    <border>
      <left/>
      <right style="medium">
        <color theme="1"/>
      </right>
      <top/>
      <bottom style="thin">
        <color theme="1"/>
      </bottom>
      <diagonal/>
    </border>
    <border>
      <left style="medium">
        <color theme="1"/>
      </left>
      <right style="thin">
        <color theme="1"/>
      </right>
      <top/>
      <bottom/>
      <diagonal/>
    </border>
    <border>
      <left style="thin">
        <color theme="1"/>
      </left>
      <right style="medium">
        <color theme="1"/>
      </right>
      <top/>
      <bottom style="thin">
        <color theme="1"/>
      </bottom>
      <diagonal/>
    </border>
    <border>
      <left style="thin">
        <color theme="1"/>
      </left>
      <right style="medium">
        <color theme="1"/>
      </right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 style="medium">
        <color theme="1"/>
      </bottom>
      <diagonal/>
    </border>
    <border>
      <left/>
      <right style="thin">
        <color theme="1"/>
      </right>
      <top style="medium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/>
      <bottom style="medium">
        <color theme="1"/>
      </bottom>
      <diagonal/>
    </border>
    <border>
      <left/>
      <right style="medium">
        <color theme="1"/>
      </right>
      <top style="thin">
        <color theme="1"/>
      </top>
      <bottom/>
      <diagonal/>
    </border>
    <border>
      <left style="medium">
        <color theme="1"/>
      </left>
      <right/>
      <top/>
      <bottom style="medium">
        <color theme="1"/>
      </bottom>
      <diagonal/>
    </border>
    <border>
      <left/>
      <right/>
      <top/>
      <bottom style="medium">
        <color theme="1"/>
      </bottom>
      <diagonal/>
    </border>
    <border>
      <left/>
      <right style="medium">
        <color theme="1"/>
      </right>
      <top/>
      <bottom style="medium">
        <color theme="1"/>
      </bottom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1"/>
      </left>
      <right/>
      <top/>
      <bottom style="medium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medium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medium">
        <color theme="1"/>
      </bottom>
      <diagonal/>
    </border>
    <border>
      <left style="thin">
        <color theme="1"/>
      </left>
      <right style="thin">
        <color theme="1"/>
      </right>
      <top style="medium">
        <color theme="1"/>
      </top>
      <bottom/>
      <diagonal/>
    </border>
    <border>
      <left style="thin">
        <color theme="1"/>
      </left>
      <right style="medium">
        <color theme="1"/>
      </right>
      <top style="medium">
        <color theme="1"/>
      </top>
      <bottom/>
      <diagonal/>
    </border>
    <border>
      <left style="thin">
        <color theme="1"/>
      </left>
      <right style="medium">
        <color theme="1"/>
      </right>
      <top/>
      <bottom style="medium">
        <color theme="1"/>
      </bottom>
      <diagonal/>
    </border>
    <border>
      <left style="thin">
        <color theme="1"/>
      </left>
      <right style="medium">
        <color theme="1"/>
      </right>
      <top/>
      <bottom/>
      <diagonal/>
    </border>
    <border>
      <left style="medium">
        <color theme="1"/>
      </left>
      <right/>
      <top style="thin">
        <color theme="1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theme="1"/>
      </left>
      <right style="medium">
        <color indexed="64"/>
      </right>
      <top style="medium">
        <color theme="1"/>
      </top>
      <bottom style="thin">
        <color theme="1"/>
      </bottom>
      <diagonal/>
    </border>
    <border>
      <left style="medium">
        <color indexed="64"/>
      </left>
      <right/>
      <top style="thin">
        <color theme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theme="1"/>
      </right>
      <top style="thin">
        <color theme="1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theme="1"/>
      </bottom>
      <diagonal/>
    </border>
    <border>
      <left/>
      <right style="medium">
        <color indexed="64"/>
      </right>
      <top style="medium">
        <color indexed="64"/>
      </top>
      <bottom style="medium">
        <color theme="1"/>
      </bottom>
      <diagonal/>
    </border>
    <border>
      <left style="medium">
        <color indexed="64"/>
      </left>
      <right style="thin">
        <color theme="1"/>
      </right>
      <top style="medium">
        <color theme="1"/>
      </top>
      <bottom style="thin">
        <color theme="1"/>
      </bottom>
      <diagonal/>
    </border>
    <border>
      <left style="thin">
        <color theme="1"/>
      </left>
      <right style="medium">
        <color indexed="64"/>
      </right>
      <top style="medium">
        <color theme="1"/>
      </top>
      <bottom/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medium">
        <color indexed="64"/>
      </right>
      <top/>
      <bottom style="thin">
        <color theme="1"/>
      </bottom>
      <diagonal/>
    </border>
    <border>
      <left style="thin">
        <color theme="1"/>
      </left>
      <right style="medium">
        <color indexed="64"/>
      </right>
      <top style="thin">
        <color theme="1"/>
      </top>
      <bottom/>
      <diagonal/>
    </border>
    <border>
      <left style="medium">
        <color indexed="64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/>
      <bottom style="medium">
        <color indexed="64"/>
      </bottom>
      <diagonal/>
    </border>
    <border>
      <left style="thin">
        <color theme="1"/>
      </left>
      <right style="medium">
        <color indexed="64"/>
      </right>
      <top/>
      <bottom style="medium">
        <color indexed="64"/>
      </bottom>
      <diagonal/>
    </border>
    <border>
      <left style="thin">
        <color theme="1"/>
      </left>
      <right style="medium">
        <color indexed="64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medium">
        <color indexed="64"/>
      </right>
      <top style="thin">
        <color theme="1"/>
      </top>
      <bottom style="medium">
        <color indexed="64"/>
      </bottom>
      <diagonal/>
    </border>
    <border>
      <left style="thin">
        <color theme="1"/>
      </left>
      <right style="medium">
        <color theme="1"/>
      </right>
      <top/>
      <bottom style="medium">
        <color indexed="64"/>
      </bottom>
      <diagonal/>
    </border>
    <border>
      <left/>
      <right style="thin">
        <color theme="1"/>
      </right>
      <top style="medium">
        <color theme="1"/>
      </top>
      <bottom/>
      <diagonal/>
    </border>
    <border>
      <left/>
      <right style="thin">
        <color theme="1"/>
      </right>
      <top/>
      <bottom style="medium">
        <color indexed="64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 style="thin">
        <color theme="1"/>
      </bottom>
      <diagonal/>
    </border>
    <border>
      <left style="thin">
        <color theme="1"/>
      </left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/>
      <diagonal/>
    </border>
    <border>
      <left style="medium">
        <color indexed="64"/>
      </left>
      <right style="thin">
        <color theme="1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theme="1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theme="1"/>
      </right>
      <top/>
      <bottom style="medium">
        <color theme="1"/>
      </bottom>
      <diagonal/>
    </border>
    <border>
      <left style="thin">
        <color indexed="64"/>
      </left>
      <right style="thin">
        <color theme="1"/>
      </right>
      <top style="thin">
        <color theme="1"/>
      </top>
      <bottom/>
      <diagonal/>
    </border>
    <border>
      <left style="thin">
        <color indexed="64"/>
      </left>
      <right style="thin">
        <color theme="1"/>
      </right>
      <top/>
      <bottom style="thin">
        <color theme="1"/>
      </bottom>
      <diagonal/>
    </border>
    <border>
      <left style="thin">
        <color indexed="64"/>
      </left>
      <right style="thin">
        <color theme="1"/>
      </right>
      <top/>
      <bottom/>
      <diagonal/>
    </border>
    <border>
      <left/>
      <right style="medium">
        <color indexed="64"/>
      </right>
      <top/>
      <bottom style="thin">
        <color theme="1"/>
      </bottom>
      <diagonal/>
    </border>
    <border>
      <left style="medium">
        <color indexed="64"/>
      </left>
      <right/>
      <top/>
      <bottom style="medium">
        <color theme="1"/>
      </bottom>
      <diagonal/>
    </border>
    <border>
      <left/>
      <right style="medium">
        <color indexed="64"/>
      </right>
      <top/>
      <bottom style="medium">
        <color theme="1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1"/>
      </left>
      <right/>
      <top style="thin">
        <color theme="1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theme="1"/>
      </bottom>
      <diagonal/>
    </border>
    <border>
      <left/>
      <right style="medium">
        <color indexed="64"/>
      </right>
      <top style="thin">
        <color theme="1"/>
      </top>
      <bottom style="thin">
        <color theme="1"/>
      </bottom>
      <diagonal/>
    </border>
    <border>
      <left/>
      <right style="medium">
        <color indexed="64"/>
      </right>
      <top style="thin">
        <color theme="1"/>
      </top>
      <bottom style="medium">
        <color indexed="64"/>
      </bottom>
      <diagonal/>
    </border>
    <border>
      <left style="thick">
        <color rgb="FFFF0000"/>
      </left>
      <right style="thick">
        <color rgb="FFFF0000"/>
      </right>
      <top style="thin">
        <color theme="1"/>
      </top>
      <bottom style="thin">
        <color theme="1"/>
      </bottom>
      <diagonal/>
    </border>
    <border>
      <left style="thick">
        <color rgb="FFFF0000"/>
      </left>
      <right style="thick">
        <color rgb="FFFF0000"/>
      </right>
      <top style="thin">
        <color theme="1"/>
      </top>
      <bottom style="thick">
        <color rgb="FFFF0000"/>
      </bottom>
      <diagonal/>
    </border>
    <border>
      <left style="thick">
        <color rgb="FFFF0000"/>
      </left>
      <right style="thick">
        <color rgb="FFFF0000"/>
      </right>
      <top style="thick">
        <color rgb="FFFF0000"/>
      </top>
      <bottom style="thin">
        <color theme="1"/>
      </bottom>
      <diagonal/>
    </border>
    <border>
      <left style="thick">
        <color rgb="FFFF0000"/>
      </left>
      <right style="thick">
        <color rgb="FFFF0000"/>
      </right>
      <top style="thin">
        <color theme="1"/>
      </top>
      <bottom/>
      <diagonal/>
    </border>
    <border>
      <left style="thick">
        <color rgb="FFFF0000"/>
      </left>
      <right style="thick">
        <color rgb="FFFF0000"/>
      </right>
      <top/>
      <bottom style="thick">
        <color rgb="FFFF0000"/>
      </bottom>
      <diagonal/>
    </border>
    <border>
      <left/>
      <right style="thin">
        <color theme="1"/>
      </right>
      <top style="medium">
        <color indexed="64"/>
      </top>
      <bottom style="thin">
        <color theme="1"/>
      </bottom>
      <diagonal/>
    </border>
    <border>
      <left style="medium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theme="1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ck">
        <color rgb="FFFF0000"/>
      </left>
      <right style="thick">
        <color rgb="FFFF0000"/>
      </right>
      <top/>
      <bottom style="thin">
        <color theme="1"/>
      </bottom>
      <diagonal/>
    </border>
    <border>
      <left style="medium">
        <color indexed="64"/>
      </left>
      <right style="thin">
        <color theme="1"/>
      </right>
      <top/>
      <bottom style="thin">
        <color theme="1"/>
      </bottom>
      <diagonal/>
    </border>
    <border>
      <left style="thick">
        <color rgb="FFFF0000"/>
      </left>
      <right style="medium">
        <color indexed="64"/>
      </right>
      <top style="thin">
        <color theme="1"/>
      </top>
      <bottom/>
      <diagonal/>
    </border>
    <border>
      <left style="thick">
        <color rgb="FFFF0000"/>
      </left>
      <right style="medium">
        <color indexed="64"/>
      </right>
      <top/>
      <bottom style="thin">
        <color theme="1"/>
      </bottom>
      <diagonal/>
    </border>
    <border>
      <left style="thin">
        <color theme="1"/>
      </left>
      <right style="thick">
        <color rgb="FFFF0000"/>
      </right>
      <top style="thin">
        <color theme="1"/>
      </top>
      <bottom/>
      <diagonal/>
    </border>
    <border>
      <left style="thin">
        <color theme="1"/>
      </left>
      <right style="thick">
        <color rgb="FFFF0000"/>
      </right>
      <top/>
      <bottom style="thin">
        <color theme="1"/>
      </bottom>
      <diagonal/>
    </border>
    <border>
      <left style="thick">
        <color rgb="FFFF0000"/>
      </left>
      <right style="medium">
        <color indexed="64"/>
      </right>
      <top/>
      <bottom style="medium">
        <color indexed="64"/>
      </bottom>
      <diagonal/>
    </border>
    <border>
      <left style="thin">
        <color theme="1"/>
      </left>
      <right style="thick">
        <color rgb="FFFF0000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325">
    <xf numFmtId="0" fontId="0" fillId="0" borderId="0" xfId="0">
      <alignment vertical="center"/>
    </xf>
    <xf numFmtId="0" fontId="2" fillId="0" borderId="8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2" fontId="2" fillId="0" borderId="8" xfId="0" applyNumberFormat="1" applyFont="1" applyBorder="1" applyAlignment="1">
      <alignment horizontal="center" vertical="center"/>
    </xf>
    <xf numFmtId="2" fontId="2" fillId="0" borderId="1" xfId="0" applyNumberFormat="1" applyFont="1" applyBorder="1" applyAlignment="1">
      <alignment horizontal="center" vertical="center"/>
    </xf>
    <xf numFmtId="0" fontId="15" fillId="4" borderId="8" xfId="0" applyFont="1" applyFill="1" applyBorder="1" applyAlignment="1">
      <alignment horizontal="center" vertical="center"/>
    </xf>
    <xf numFmtId="0" fontId="2" fillId="0" borderId="0" xfId="0" applyFont="1">
      <alignment vertical="center"/>
    </xf>
    <xf numFmtId="2" fontId="2" fillId="0" borderId="19" xfId="0" applyNumberFormat="1" applyFont="1" applyBorder="1" applyAlignment="1">
      <alignment horizontal="center" vertical="center"/>
    </xf>
    <xf numFmtId="0" fontId="19" fillId="0" borderId="0" xfId="0" applyFont="1" applyAlignment="1">
      <alignment horizontal="justify" vertical="center"/>
    </xf>
    <xf numFmtId="2" fontId="2" fillId="0" borderId="64" xfId="0" applyNumberFormat="1" applyFont="1" applyBorder="1" applyAlignment="1">
      <alignment horizontal="center" vertical="center"/>
    </xf>
    <xf numFmtId="0" fontId="20" fillId="0" borderId="8" xfId="0" applyFont="1" applyBorder="1" applyAlignment="1">
      <alignment horizontal="center" vertical="center"/>
    </xf>
    <xf numFmtId="4" fontId="21" fillId="0" borderId="23" xfId="0" applyNumberFormat="1" applyFont="1" applyFill="1" applyBorder="1" applyAlignment="1">
      <alignment horizontal="center" vertical="center"/>
    </xf>
    <xf numFmtId="4" fontId="21" fillId="0" borderId="20" xfId="0" applyNumberFormat="1" applyFont="1" applyFill="1" applyBorder="1" applyAlignment="1">
      <alignment horizontal="center" vertical="center"/>
    </xf>
    <xf numFmtId="4" fontId="21" fillId="0" borderId="90" xfId="0" applyNumberFormat="1" applyFont="1" applyFill="1" applyBorder="1" applyAlignment="1">
      <alignment horizontal="center" vertical="center"/>
    </xf>
    <xf numFmtId="4" fontId="21" fillId="0" borderId="91" xfId="0" applyNumberFormat="1" applyFont="1" applyFill="1" applyBorder="1" applyAlignment="1">
      <alignment horizontal="center" vertical="center"/>
    </xf>
    <xf numFmtId="4" fontId="21" fillId="0" borderId="77" xfId="0" applyNumberFormat="1" applyFont="1" applyFill="1" applyBorder="1" applyAlignment="1">
      <alignment horizontal="center" vertical="center"/>
    </xf>
    <xf numFmtId="2" fontId="2" fillId="0" borderId="74" xfId="0" applyNumberFormat="1" applyFont="1" applyBorder="1" applyAlignment="1">
      <alignment horizontal="center" vertical="center"/>
    </xf>
    <xf numFmtId="4" fontId="21" fillId="0" borderId="78" xfId="0" applyNumberFormat="1" applyFont="1" applyFill="1" applyBorder="1" applyAlignment="1">
      <alignment horizontal="center" vertical="center"/>
    </xf>
    <xf numFmtId="0" fontId="15" fillId="4" borderId="29" xfId="0" applyFont="1" applyFill="1" applyBorder="1" applyAlignment="1">
      <alignment horizontal="center" vertical="center"/>
    </xf>
    <xf numFmtId="4" fontId="21" fillId="0" borderId="10" xfId="0" applyNumberFormat="1" applyFont="1" applyFill="1" applyBorder="1" applyAlignment="1">
      <alignment horizontal="center" vertical="center"/>
    </xf>
    <xf numFmtId="4" fontId="21" fillId="0" borderId="14" xfId="0" applyNumberFormat="1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vertical="center"/>
    </xf>
    <xf numFmtId="0" fontId="10" fillId="4" borderId="1" xfId="0" applyFont="1" applyFill="1" applyBorder="1" applyAlignment="1">
      <alignment vertical="center"/>
    </xf>
    <xf numFmtId="0" fontId="9" fillId="2" borderId="1" xfId="0" applyFont="1" applyFill="1" applyBorder="1" applyAlignment="1">
      <alignment vertical="center"/>
    </xf>
    <xf numFmtId="0" fontId="9" fillId="2" borderId="49" xfId="0" applyFont="1" applyFill="1" applyBorder="1" applyAlignment="1">
      <alignment vertical="center"/>
    </xf>
    <xf numFmtId="0" fontId="9" fillId="2" borderId="112" xfId="0" applyFont="1" applyFill="1" applyBorder="1" applyAlignment="1">
      <alignment vertical="center"/>
    </xf>
    <xf numFmtId="0" fontId="9" fillId="2" borderId="115" xfId="0" applyFont="1" applyFill="1" applyBorder="1" applyAlignment="1">
      <alignment vertical="center"/>
    </xf>
    <xf numFmtId="0" fontId="10" fillId="4" borderId="114" xfId="0" applyFont="1" applyFill="1" applyBorder="1" applyAlignment="1">
      <alignment vertical="center"/>
    </xf>
    <xf numFmtId="0" fontId="10" fillId="4" borderId="112" xfId="0" applyFont="1" applyFill="1" applyBorder="1" applyAlignment="1">
      <alignment vertical="center"/>
    </xf>
    <xf numFmtId="2" fontId="9" fillId="2" borderId="47" xfId="0" applyNumberFormat="1" applyFont="1" applyFill="1" applyBorder="1" applyAlignment="1">
      <alignment vertical="center"/>
    </xf>
    <xf numFmtId="2" fontId="9" fillId="2" borderId="42" xfId="0" applyNumberFormat="1" applyFont="1" applyFill="1" applyBorder="1" applyAlignment="1">
      <alignment vertical="center"/>
    </xf>
    <xf numFmtId="0" fontId="10" fillId="4" borderId="0" xfId="0" applyFont="1" applyFill="1" applyBorder="1" applyAlignment="1">
      <alignment vertical="center"/>
    </xf>
    <xf numFmtId="0" fontId="10" fillId="4" borderId="26" xfId="0" applyFont="1" applyFill="1" applyBorder="1" applyAlignment="1">
      <alignment vertical="center"/>
    </xf>
    <xf numFmtId="0" fontId="10" fillId="4" borderId="31" xfId="0" applyFont="1" applyFill="1" applyBorder="1" applyAlignment="1">
      <alignment vertical="center"/>
    </xf>
    <xf numFmtId="0" fontId="10" fillId="4" borderId="25" xfId="0" applyFont="1" applyFill="1" applyBorder="1" applyAlignment="1">
      <alignment vertical="center"/>
    </xf>
    <xf numFmtId="2" fontId="9" fillId="2" borderId="0" xfId="0" applyNumberFormat="1" applyFont="1" applyFill="1" applyBorder="1" applyAlignment="1">
      <alignment vertical="center"/>
    </xf>
    <xf numFmtId="2" fontId="9" fillId="2" borderId="7" xfId="0" applyNumberFormat="1" applyFont="1" applyFill="1" applyBorder="1" applyAlignment="1">
      <alignment vertical="center"/>
    </xf>
    <xf numFmtId="2" fontId="5" fillId="0" borderId="19" xfId="0" applyNumberFormat="1" applyFont="1" applyBorder="1" applyAlignment="1">
      <alignment horizontal="center" vertical="center"/>
    </xf>
    <xf numFmtId="0" fontId="18" fillId="0" borderId="72" xfId="0" applyFont="1" applyBorder="1" applyAlignment="1">
      <alignment horizontal="center" vertical="center" wrapText="1"/>
    </xf>
    <xf numFmtId="0" fontId="18" fillId="0" borderId="76" xfId="0" applyFont="1" applyBorder="1" applyAlignment="1">
      <alignment horizontal="center" vertical="center" wrapText="1"/>
    </xf>
    <xf numFmtId="4" fontId="5" fillId="0" borderId="70" xfId="0" applyNumberFormat="1" applyFont="1" applyBorder="1" applyAlignment="1">
      <alignment horizontal="center" vertical="center"/>
    </xf>
    <xf numFmtId="4" fontId="5" fillId="0" borderId="73" xfId="0" applyNumberFormat="1" applyFont="1" applyBorder="1" applyAlignment="1">
      <alignment horizontal="center" vertical="center"/>
    </xf>
    <xf numFmtId="0" fontId="17" fillId="0" borderId="8" xfId="0" applyFont="1" applyFill="1" applyBorder="1" applyAlignment="1">
      <alignment horizontal="center" vertical="center" wrapText="1"/>
    </xf>
    <xf numFmtId="0" fontId="17" fillId="0" borderId="74" xfId="0" applyFont="1" applyFill="1" applyBorder="1" applyAlignment="1">
      <alignment horizontal="center" vertical="center" wrapText="1"/>
    </xf>
    <xf numFmtId="176" fontId="16" fillId="0" borderId="8" xfId="0" applyNumberFormat="1" applyFont="1" applyBorder="1" applyAlignment="1">
      <alignment horizontal="center" vertical="center" wrapText="1"/>
    </xf>
    <xf numFmtId="176" fontId="16" fillId="0" borderId="74" xfId="0" applyNumberFormat="1" applyFont="1" applyBorder="1" applyAlignment="1">
      <alignment horizontal="center" vertical="center" wrapText="1"/>
    </xf>
    <xf numFmtId="0" fontId="5" fillId="2" borderId="22" xfId="0" applyFont="1" applyFill="1" applyBorder="1" applyAlignment="1">
      <alignment horizontal="center" vertical="center"/>
    </xf>
    <xf numFmtId="0" fontId="5" fillId="2" borderId="18" xfId="0" applyFont="1" applyFill="1" applyBorder="1" applyAlignment="1">
      <alignment horizontal="center" vertical="center"/>
    </xf>
    <xf numFmtId="0" fontId="17" fillId="2" borderId="28" xfId="0" applyFont="1" applyFill="1" applyBorder="1" applyAlignment="1">
      <alignment horizontal="center" vertical="center" wrapText="1"/>
    </xf>
    <xf numFmtId="0" fontId="17" fillId="2" borderId="30" xfId="0" applyFont="1" applyFill="1" applyBorder="1" applyAlignment="1">
      <alignment horizontal="center" vertical="center" wrapText="1"/>
    </xf>
    <xf numFmtId="0" fontId="17" fillId="2" borderId="29" xfId="0" applyFont="1" applyFill="1" applyBorder="1" applyAlignment="1">
      <alignment horizontal="center" vertical="center" wrapText="1"/>
    </xf>
    <xf numFmtId="0" fontId="17" fillId="2" borderId="41" xfId="0" applyFont="1" applyFill="1" applyBorder="1" applyAlignment="1">
      <alignment horizontal="center" vertical="center" wrapText="1"/>
    </xf>
    <xf numFmtId="2" fontId="16" fillId="2" borderId="29" xfId="0" applyNumberFormat="1" applyFont="1" applyFill="1" applyBorder="1" applyAlignment="1">
      <alignment horizontal="center" vertical="center" wrapText="1"/>
    </xf>
    <xf numFmtId="2" fontId="16" fillId="2" borderId="41" xfId="0" applyNumberFormat="1" applyFont="1" applyFill="1" applyBorder="1" applyAlignment="1">
      <alignment horizontal="center" vertical="center" wrapText="1"/>
    </xf>
    <xf numFmtId="2" fontId="16" fillId="2" borderId="39" xfId="0" applyNumberFormat="1" applyFont="1" applyFill="1" applyBorder="1" applyAlignment="1">
      <alignment horizontal="center" vertical="center" wrapText="1"/>
    </xf>
    <xf numFmtId="2" fontId="16" fillId="2" borderId="50" xfId="0" applyNumberFormat="1" applyFont="1" applyFill="1" applyBorder="1" applyAlignment="1">
      <alignment horizontal="center" vertical="center" wrapText="1"/>
    </xf>
    <xf numFmtId="4" fontId="6" fillId="5" borderId="34" xfId="0" applyNumberFormat="1" applyFont="1" applyFill="1" applyBorder="1" applyAlignment="1">
      <alignment horizontal="center" vertical="center" shrinkToFit="1"/>
    </xf>
    <xf numFmtId="4" fontId="6" fillId="5" borderId="40" xfId="0" applyNumberFormat="1" applyFont="1" applyFill="1" applyBorder="1" applyAlignment="1">
      <alignment horizontal="center" vertical="center" shrinkToFit="1"/>
    </xf>
    <xf numFmtId="4" fontId="6" fillId="5" borderId="57" xfId="0" applyNumberFormat="1" applyFont="1" applyFill="1" applyBorder="1" applyAlignment="1">
      <alignment horizontal="center" vertical="center" shrinkToFit="1"/>
    </xf>
    <xf numFmtId="4" fontId="6" fillId="5" borderId="0" xfId="0" applyNumberFormat="1" applyFont="1" applyFill="1" applyBorder="1" applyAlignment="1">
      <alignment horizontal="center" vertical="center" shrinkToFit="1"/>
    </xf>
    <xf numFmtId="0" fontId="17" fillId="4" borderId="15" xfId="0" applyFont="1" applyFill="1" applyBorder="1" applyAlignment="1">
      <alignment horizontal="center" vertical="center" wrapText="1"/>
    </xf>
    <xf numFmtId="0" fontId="17" fillId="4" borderId="22" xfId="0" applyFont="1" applyFill="1" applyBorder="1" applyAlignment="1">
      <alignment horizontal="center" vertical="center" wrapText="1"/>
    </xf>
    <xf numFmtId="4" fontId="6" fillId="4" borderId="16" xfId="0" applyNumberFormat="1" applyFont="1" applyFill="1" applyBorder="1" applyAlignment="1">
      <alignment horizontal="center" vertical="center"/>
    </xf>
    <xf numFmtId="4" fontId="6" fillId="4" borderId="8" xfId="0" applyNumberFormat="1" applyFont="1" applyFill="1" applyBorder="1" applyAlignment="1">
      <alignment horizontal="center" vertical="center"/>
    </xf>
    <xf numFmtId="176" fontId="16" fillId="2" borderId="108" xfId="0" applyNumberFormat="1" applyFont="1" applyFill="1" applyBorder="1" applyAlignment="1">
      <alignment horizontal="center" vertical="center" wrapText="1"/>
    </xf>
    <xf numFmtId="0" fontId="16" fillId="2" borderId="109" xfId="0" applyFont="1" applyFill="1" applyBorder="1" applyAlignment="1">
      <alignment horizontal="center" vertical="center" wrapText="1"/>
    </xf>
    <xf numFmtId="0" fontId="16" fillId="2" borderId="46" xfId="0" applyFont="1" applyFill="1" applyBorder="1" applyAlignment="1">
      <alignment horizontal="center" vertical="center" wrapText="1"/>
    </xf>
    <xf numFmtId="0" fontId="16" fillId="2" borderId="92" xfId="0" applyFont="1" applyFill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41" xfId="0" applyFont="1" applyBorder="1" applyAlignment="1">
      <alignment horizontal="center" vertical="center" wrapText="1"/>
    </xf>
    <xf numFmtId="0" fontId="16" fillId="2" borderId="36" xfId="0" applyFont="1" applyFill="1" applyBorder="1" applyAlignment="1">
      <alignment horizontal="center" vertical="center" wrapText="1"/>
    </xf>
    <xf numFmtId="0" fontId="16" fillId="2" borderId="56" xfId="0" applyFont="1" applyFill="1" applyBorder="1" applyAlignment="1">
      <alignment horizontal="center" vertical="center" wrapText="1"/>
    </xf>
    <xf numFmtId="0" fontId="17" fillId="4" borderId="52" xfId="0" applyFont="1" applyFill="1" applyBorder="1" applyAlignment="1">
      <alignment horizontal="center" vertical="center" wrapText="1"/>
    </xf>
    <xf numFmtId="0" fontId="17" fillId="4" borderId="48" xfId="0" applyFont="1" applyFill="1" applyBorder="1" applyAlignment="1">
      <alignment horizontal="center" vertical="center" wrapText="1"/>
    </xf>
    <xf numFmtId="0" fontId="17" fillId="4" borderId="107" xfId="0" applyFont="1" applyFill="1" applyBorder="1" applyAlignment="1">
      <alignment horizontal="center" vertical="center" wrapText="1"/>
    </xf>
    <xf numFmtId="0" fontId="17" fillId="4" borderId="105" xfId="0" applyFont="1" applyFill="1" applyBorder="1" applyAlignment="1">
      <alignment horizontal="center" vertical="center" wrapText="1"/>
    </xf>
    <xf numFmtId="0" fontId="17" fillId="4" borderId="80" xfId="0" applyFont="1" applyFill="1" applyBorder="1" applyAlignment="1">
      <alignment horizontal="center" vertical="center" wrapText="1"/>
    </xf>
    <xf numFmtId="0" fontId="17" fillId="4" borderId="25" xfId="0" applyFont="1" applyFill="1" applyBorder="1" applyAlignment="1">
      <alignment horizontal="center" vertical="center" wrapText="1"/>
    </xf>
    <xf numFmtId="0" fontId="16" fillId="4" borderId="54" xfId="0" applyFont="1" applyFill="1" applyBorder="1" applyAlignment="1">
      <alignment horizontal="center" vertical="center" wrapText="1"/>
    </xf>
    <xf numFmtId="0" fontId="16" fillId="4" borderId="27" xfId="0" applyFont="1" applyFill="1" applyBorder="1" applyAlignment="1">
      <alignment horizontal="center" vertical="center" wrapText="1"/>
    </xf>
    <xf numFmtId="0" fontId="16" fillId="4" borderId="55" xfId="0" applyFont="1" applyFill="1" applyBorder="1" applyAlignment="1">
      <alignment horizontal="center" vertical="center" wrapText="1"/>
    </xf>
    <xf numFmtId="0" fontId="16" fillId="4" borderId="35" xfId="0" applyFont="1" applyFill="1" applyBorder="1" applyAlignment="1">
      <alignment horizontal="center" vertical="center" wrapText="1"/>
    </xf>
    <xf numFmtId="0" fontId="20" fillId="0" borderId="6" xfId="0" applyFont="1" applyBorder="1" applyAlignment="1">
      <alignment horizontal="left" vertical="center"/>
    </xf>
    <xf numFmtId="0" fontId="20" fillId="0" borderId="0" xfId="0" applyFont="1" applyAlignment="1">
      <alignment horizontal="left" vertical="center"/>
    </xf>
    <xf numFmtId="0" fontId="3" fillId="0" borderId="6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12" fillId="3" borderId="6" xfId="0" applyFont="1" applyFill="1" applyBorder="1" applyAlignment="1">
      <alignment horizontal="center" vertical="center"/>
    </xf>
    <xf numFmtId="0" fontId="11" fillId="3" borderId="0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center" vertical="center"/>
    </xf>
    <xf numFmtId="0" fontId="12" fillId="3" borderId="0" xfId="0" applyFont="1" applyFill="1" applyBorder="1" applyAlignment="1">
      <alignment horizontal="center" vertical="center"/>
    </xf>
    <xf numFmtId="0" fontId="12" fillId="3" borderId="7" xfId="0" applyFont="1" applyFill="1" applyBorder="1" applyAlignment="1">
      <alignment horizontal="center" vertical="center"/>
    </xf>
    <xf numFmtId="0" fontId="12" fillId="3" borderId="31" xfId="0" applyFont="1" applyFill="1" applyBorder="1" applyAlignment="1">
      <alignment horizontal="center" vertical="center"/>
    </xf>
    <xf numFmtId="0" fontId="12" fillId="3" borderId="33" xfId="0" applyFont="1" applyFill="1" applyBorder="1" applyAlignment="1">
      <alignment horizontal="center" vertical="center"/>
    </xf>
    <xf numFmtId="4" fontId="6" fillId="5" borderId="18" xfId="0" applyNumberFormat="1" applyFont="1" applyFill="1" applyBorder="1" applyAlignment="1">
      <alignment horizontal="center" vertical="center" shrinkToFit="1"/>
    </xf>
    <xf numFmtId="4" fontId="6" fillId="5" borderId="19" xfId="0" applyNumberFormat="1" applyFont="1" applyFill="1" applyBorder="1" applyAlignment="1">
      <alignment horizontal="center" vertical="center" shrinkToFit="1"/>
    </xf>
    <xf numFmtId="4" fontId="6" fillId="5" borderId="20" xfId="0" applyNumberFormat="1" applyFont="1" applyFill="1" applyBorder="1" applyAlignment="1">
      <alignment horizontal="center" vertical="center" shrinkToFit="1"/>
    </xf>
    <xf numFmtId="4" fontId="6" fillId="5" borderId="47" xfId="0" applyNumberFormat="1" applyFont="1" applyFill="1" applyBorder="1" applyAlignment="1">
      <alignment horizontal="center" vertical="center" shrinkToFit="1"/>
    </xf>
    <xf numFmtId="4" fontId="6" fillId="4" borderId="17" xfId="0" applyNumberFormat="1" applyFont="1" applyFill="1" applyBorder="1" applyAlignment="1">
      <alignment horizontal="center" vertical="center"/>
    </xf>
    <xf numFmtId="4" fontId="6" fillId="4" borderId="23" xfId="0" applyNumberFormat="1" applyFont="1" applyFill="1" applyBorder="1" applyAlignment="1">
      <alignment horizontal="center" vertical="center"/>
    </xf>
    <xf numFmtId="0" fontId="17" fillId="4" borderId="16" xfId="0" applyFont="1" applyFill="1" applyBorder="1" applyAlignment="1">
      <alignment horizontal="center" vertical="center" wrapText="1"/>
    </xf>
    <xf numFmtId="0" fontId="17" fillId="4" borderId="8" xfId="0" applyFont="1" applyFill="1" applyBorder="1" applyAlignment="1">
      <alignment horizontal="center" vertical="center" wrapText="1"/>
    </xf>
    <xf numFmtId="4" fontId="5" fillId="0" borderId="63" xfId="0" applyNumberFormat="1" applyFont="1" applyBorder="1" applyAlignment="1">
      <alignment horizontal="center" vertical="center"/>
    </xf>
    <xf numFmtId="4" fontId="5" fillId="0" borderId="89" xfId="0" applyNumberFormat="1" applyFont="1" applyBorder="1" applyAlignment="1">
      <alignment horizontal="center" vertical="center"/>
    </xf>
    <xf numFmtId="176" fontId="16" fillId="0" borderId="103" xfId="0" applyNumberFormat="1" applyFont="1" applyBorder="1" applyAlignment="1">
      <alignment horizontal="center" vertical="center" wrapText="1"/>
    </xf>
    <xf numFmtId="0" fontId="18" fillId="0" borderId="46" xfId="0" applyFont="1" applyBorder="1" applyAlignment="1">
      <alignment horizontal="center" vertical="center" wrapText="1"/>
    </xf>
    <xf numFmtId="0" fontId="18" fillId="0" borderId="25" xfId="0" applyFont="1" applyBorder="1" applyAlignment="1">
      <alignment horizontal="center" vertical="center" wrapText="1"/>
    </xf>
    <xf numFmtId="0" fontId="18" fillId="0" borderId="71" xfId="0" applyFont="1" applyBorder="1" applyAlignment="1">
      <alignment horizontal="center" vertical="center" wrapText="1"/>
    </xf>
    <xf numFmtId="4" fontId="5" fillId="0" borderId="88" xfId="0" applyNumberFormat="1" applyFont="1" applyBorder="1" applyAlignment="1">
      <alignment horizontal="center" vertical="center"/>
    </xf>
    <xf numFmtId="4" fontId="6" fillId="0" borderId="70" xfId="0" applyNumberFormat="1" applyFont="1" applyBorder="1" applyAlignment="1">
      <alignment horizontal="center" vertical="center" wrapText="1"/>
    </xf>
    <xf numFmtId="2" fontId="16" fillId="0" borderId="48" xfId="0" applyNumberFormat="1" applyFont="1" applyBorder="1" applyAlignment="1">
      <alignment horizontal="center" vertical="center" wrapText="1"/>
    </xf>
    <xf numFmtId="176" fontId="2" fillId="0" borderId="108" xfId="0" applyNumberFormat="1" applyFont="1" applyBorder="1" applyAlignment="1">
      <alignment horizontal="center" vertical="center" wrapText="1"/>
    </xf>
    <xf numFmtId="176" fontId="2" fillId="0" borderId="128" xfId="0" applyNumberFormat="1" applyFont="1" applyBorder="1" applyAlignment="1">
      <alignment horizontal="center" vertical="center" wrapText="1"/>
    </xf>
    <xf numFmtId="0" fontId="16" fillId="0" borderId="103" xfId="0" applyFont="1" applyBorder="1" applyAlignment="1">
      <alignment horizontal="center" vertical="center" wrapText="1"/>
    </xf>
    <xf numFmtId="2" fontId="16" fillId="0" borderId="101" xfId="0" applyNumberFormat="1" applyFont="1" applyBorder="1" applyAlignment="1">
      <alignment horizontal="center" vertical="center" wrapText="1"/>
    </xf>
    <xf numFmtId="176" fontId="2" fillId="0" borderId="109" xfId="0" applyNumberFormat="1" applyFont="1" applyBorder="1" applyAlignment="1">
      <alignment horizontal="center" vertical="center" wrapText="1"/>
    </xf>
    <xf numFmtId="0" fontId="16" fillId="0" borderId="104" xfId="0" applyFont="1" applyBorder="1" applyAlignment="1">
      <alignment horizontal="center" vertical="center" wrapText="1"/>
    </xf>
    <xf numFmtId="0" fontId="18" fillId="0" borderId="81" xfId="0" applyFont="1" applyBorder="1" applyAlignment="1">
      <alignment horizontal="center" vertical="center" wrapText="1"/>
    </xf>
    <xf numFmtId="0" fontId="16" fillId="4" borderId="69" xfId="0" applyFont="1" applyFill="1" applyBorder="1" applyAlignment="1">
      <alignment horizontal="center" vertical="center" wrapText="1"/>
    </xf>
    <xf numFmtId="0" fontId="16" fillId="4" borderId="71" xfId="0" applyFont="1" applyFill="1" applyBorder="1" applyAlignment="1">
      <alignment horizontal="center" vertical="center" wrapText="1"/>
    </xf>
    <xf numFmtId="2" fontId="18" fillId="0" borderId="48" xfId="0" applyNumberFormat="1" applyFont="1" applyBorder="1" applyAlignment="1">
      <alignment horizontal="center" vertical="center" wrapText="1"/>
    </xf>
    <xf numFmtId="0" fontId="18" fillId="0" borderId="103" xfId="0" applyFont="1" applyBorder="1" applyAlignment="1">
      <alignment horizontal="center" vertical="center" wrapText="1"/>
    </xf>
    <xf numFmtId="0" fontId="17" fillId="4" borderId="83" xfId="0" applyFont="1" applyFill="1" applyBorder="1" applyAlignment="1">
      <alignment horizontal="center" vertical="center" wrapText="1"/>
    </xf>
    <xf numFmtId="0" fontId="17" fillId="4" borderId="84" xfId="0" applyFont="1" applyFill="1" applyBorder="1" applyAlignment="1">
      <alignment horizontal="center" vertical="center" wrapText="1"/>
    </xf>
    <xf numFmtId="0" fontId="17" fillId="4" borderId="102" xfId="0" applyFont="1" applyFill="1" applyBorder="1" applyAlignment="1">
      <alignment horizontal="center" vertical="center" wrapText="1"/>
    </xf>
    <xf numFmtId="0" fontId="17" fillId="4" borderId="103" xfId="0" applyFont="1" applyFill="1" applyBorder="1" applyAlignment="1">
      <alignment horizontal="center" vertical="center" wrapText="1"/>
    </xf>
    <xf numFmtId="0" fontId="16" fillId="4" borderId="80" xfId="0" applyFont="1" applyFill="1" applyBorder="1" applyAlignment="1">
      <alignment horizontal="center" vertical="center" wrapText="1"/>
    </xf>
    <xf numFmtId="0" fontId="16" fillId="4" borderId="25" xfId="0" applyFont="1" applyFill="1" applyBorder="1" applyAlignment="1">
      <alignment horizontal="center" vertical="center" wrapText="1"/>
    </xf>
    <xf numFmtId="0" fontId="17" fillId="4" borderId="82" xfId="0" applyFont="1" applyFill="1" applyBorder="1" applyAlignment="1">
      <alignment horizontal="center" vertical="center" wrapText="1"/>
    </xf>
    <xf numFmtId="0" fontId="17" fillId="4" borderId="70" xfId="0" applyFont="1" applyFill="1" applyBorder="1" applyAlignment="1">
      <alignment horizontal="center" vertical="center" wrapText="1"/>
    </xf>
    <xf numFmtId="4" fontId="6" fillId="4" borderId="83" xfId="0" applyNumberFormat="1" applyFont="1" applyFill="1" applyBorder="1" applyAlignment="1">
      <alignment horizontal="center" vertical="center"/>
    </xf>
    <xf numFmtId="4" fontId="6" fillId="4" borderId="29" xfId="0" applyNumberFormat="1" applyFont="1" applyFill="1" applyBorder="1" applyAlignment="1">
      <alignment horizontal="center" vertical="center"/>
    </xf>
    <xf numFmtId="4" fontId="6" fillId="4" borderId="85" xfId="0" applyNumberFormat="1" applyFont="1" applyFill="1" applyBorder="1" applyAlignment="1">
      <alignment horizontal="center" vertical="center"/>
    </xf>
    <xf numFmtId="4" fontId="6" fillId="4" borderId="77" xfId="0" applyNumberFormat="1" applyFont="1" applyFill="1" applyBorder="1" applyAlignment="1">
      <alignment horizontal="center" vertical="center"/>
    </xf>
    <xf numFmtId="176" fontId="18" fillId="0" borderId="105" xfId="0" applyNumberFormat="1" applyFont="1" applyBorder="1" applyAlignment="1">
      <alignment horizontal="center" vertical="center" wrapText="1"/>
    </xf>
    <xf numFmtId="176" fontId="18" fillId="0" borderId="106" xfId="0" applyNumberFormat="1" applyFont="1" applyBorder="1" applyAlignment="1">
      <alignment horizontal="center" vertical="center" wrapText="1"/>
    </xf>
    <xf numFmtId="0" fontId="18" fillId="0" borderId="9" xfId="0" applyFont="1" applyBorder="1" applyAlignment="1">
      <alignment horizontal="center" vertical="center" wrapText="1"/>
    </xf>
    <xf numFmtId="0" fontId="18" fillId="0" borderId="75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79" xfId="0" applyFont="1" applyBorder="1" applyAlignment="1">
      <alignment horizontal="center" vertical="center" wrapText="1"/>
    </xf>
    <xf numFmtId="4" fontId="6" fillId="5" borderId="3" xfId="0" applyNumberFormat="1" applyFont="1" applyFill="1" applyBorder="1" applyAlignment="1">
      <alignment horizontal="center" vertical="center" shrinkToFit="1"/>
    </xf>
    <xf numFmtId="4" fontId="6" fillId="5" borderId="4" xfId="0" applyNumberFormat="1" applyFont="1" applyFill="1" applyBorder="1" applyAlignment="1">
      <alignment horizontal="center" vertical="center" shrinkToFit="1"/>
    </xf>
    <xf numFmtId="4" fontId="6" fillId="5" borderId="59" xfId="0" applyNumberFormat="1" applyFont="1" applyFill="1" applyBorder="1" applyAlignment="1">
      <alignment horizontal="center" vertical="center" shrinkToFit="1"/>
    </xf>
    <xf numFmtId="4" fontId="6" fillId="5" borderId="60" xfId="0" applyNumberFormat="1" applyFont="1" applyFill="1" applyBorder="1" applyAlignment="1">
      <alignment horizontal="center" vertical="center" shrinkToFit="1"/>
    </xf>
    <xf numFmtId="4" fontId="6" fillId="5" borderId="66" xfId="0" applyNumberFormat="1" applyFont="1" applyFill="1" applyBorder="1" applyAlignment="1">
      <alignment horizontal="center" vertical="center" shrinkToFit="1"/>
    </xf>
    <xf numFmtId="4" fontId="6" fillId="5" borderId="67" xfId="0" applyNumberFormat="1" applyFont="1" applyFill="1" applyBorder="1" applyAlignment="1">
      <alignment horizontal="center" vertical="center" shrinkToFit="1"/>
    </xf>
    <xf numFmtId="0" fontId="17" fillId="4" borderId="38" xfId="0" applyFont="1" applyFill="1" applyBorder="1" applyAlignment="1">
      <alignment horizontal="center" vertical="center" wrapText="1"/>
    </xf>
    <xf numFmtId="0" fontId="17" fillId="4" borderId="9" xfId="0" applyFont="1" applyFill="1" applyBorder="1" applyAlignment="1">
      <alignment horizontal="center" vertical="center" wrapText="1"/>
    </xf>
    <xf numFmtId="0" fontId="5" fillId="2" borderId="28" xfId="0" applyFont="1" applyFill="1" applyBorder="1" applyAlignment="1">
      <alignment horizontal="center" vertical="center"/>
    </xf>
    <xf numFmtId="0" fontId="5" fillId="2" borderId="30" xfId="0" applyFont="1" applyFill="1" applyBorder="1" applyAlignment="1">
      <alignment horizontal="center" vertical="center"/>
    </xf>
    <xf numFmtId="4" fontId="17" fillId="0" borderId="22" xfId="0" applyNumberFormat="1" applyFont="1" applyFill="1" applyBorder="1" applyAlignment="1">
      <alignment horizontal="center" vertical="center" wrapText="1"/>
    </xf>
    <xf numFmtId="4" fontId="17" fillId="0" borderId="28" xfId="0" applyNumberFormat="1" applyFont="1" applyFill="1" applyBorder="1" applyAlignment="1">
      <alignment horizontal="center" vertical="center" wrapText="1"/>
    </xf>
    <xf numFmtId="0" fontId="17" fillId="0" borderId="29" xfId="0" applyFont="1" applyFill="1" applyBorder="1" applyAlignment="1">
      <alignment horizontal="center" vertical="center" wrapText="1"/>
    </xf>
    <xf numFmtId="176" fontId="16" fillId="0" borderId="29" xfId="0" applyNumberFormat="1" applyFont="1" applyBorder="1" applyAlignment="1">
      <alignment horizontal="center" vertical="center" wrapText="1"/>
    </xf>
    <xf numFmtId="2" fontId="18" fillId="0" borderId="39" xfId="0" applyNumberFormat="1" applyFont="1" applyBorder="1" applyAlignment="1">
      <alignment horizontal="center" vertical="center" wrapText="1"/>
    </xf>
    <xf numFmtId="4" fontId="6" fillId="5" borderId="11" xfId="0" applyNumberFormat="1" applyFont="1" applyFill="1" applyBorder="1" applyAlignment="1">
      <alignment horizontal="center" vertical="center" shrinkToFit="1"/>
    </xf>
    <xf numFmtId="4" fontId="6" fillId="5" borderId="12" xfId="0" applyNumberFormat="1" applyFont="1" applyFill="1" applyBorder="1" applyAlignment="1">
      <alignment horizontal="center" vertical="center" shrinkToFit="1"/>
    </xf>
    <xf numFmtId="4" fontId="6" fillId="5" borderId="13" xfId="0" applyNumberFormat="1" applyFont="1" applyFill="1" applyBorder="1" applyAlignment="1">
      <alignment horizontal="center" vertical="center" shrinkToFit="1"/>
    </xf>
    <xf numFmtId="0" fontId="16" fillId="4" borderId="57" xfId="0" applyFont="1" applyFill="1" applyBorder="1" applyAlignment="1">
      <alignment horizontal="center" vertical="center" wrapText="1"/>
    </xf>
    <xf numFmtId="0" fontId="5" fillId="0" borderId="28" xfId="0" applyFont="1" applyBorder="1" applyAlignment="1">
      <alignment horizontal="center" vertical="center"/>
    </xf>
    <xf numFmtId="0" fontId="5" fillId="0" borderId="30" xfId="0" applyFont="1" applyBorder="1" applyAlignment="1">
      <alignment horizontal="center" vertical="center"/>
    </xf>
    <xf numFmtId="0" fontId="5" fillId="0" borderId="22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17" fillId="0" borderId="19" xfId="0" applyFont="1" applyFill="1" applyBorder="1" applyAlignment="1">
      <alignment horizontal="center" vertical="center" wrapText="1"/>
    </xf>
    <xf numFmtId="176" fontId="16" fillId="0" borderId="19" xfId="0" applyNumberFormat="1" applyFont="1" applyBorder="1" applyAlignment="1">
      <alignment horizontal="center" vertical="center" wrapText="1"/>
    </xf>
    <xf numFmtId="2" fontId="18" fillId="0" borderId="53" xfId="0" applyNumberFormat="1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56" xfId="0" applyFont="1" applyBorder="1" applyAlignment="1">
      <alignment horizontal="center" vertical="center" wrapText="1"/>
    </xf>
    <xf numFmtId="0" fontId="17" fillId="4" borderId="27" xfId="0" applyFont="1" applyFill="1" applyBorder="1" applyAlignment="1">
      <alignment horizontal="center" vertical="center" wrapText="1"/>
    </xf>
    <xf numFmtId="0" fontId="17" fillId="4" borderId="24" xfId="0" applyFont="1" applyFill="1" applyBorder="1" applyAlignment="1">
      <alignment horizontal="center" vertical="center" wrapText="1"/>
    </xf>
    <xf numFmtId="0" fontId="16" fillId="4" borderId="40" xfId="0" applyFont="1" applyFill="1" applyBorder="1" applyAlignment="1">
      <alignment horizontal="center" vertical="center" wrapText="1"/>
    </xf>
    <xf numFmtId="0" fontId="17" fillId="4" borderId="111" xfId="0" applyFont="1" applyFill="1" applyBorder="1" applyAlignment="1">
      <alignment horizontal="center" vertical="center" wrapText="1"/>
    </xf>
    <xf numFmtId="4" fontId="6" fillId="4" borderId="27" xfId="0" applyNumberFormat="1" applyFont="1" applyFill="1" applyBorder="1" applyAlignment="1">
      <alignment horizontal="center" vertical="center"/>
    </xf>
    <xf numFmtId="4" fontId="6" fillId="4" borderId="35" xfId="0" applyNumberFormat="1" applyFont="1" applyFill="1" applyBorder="1" applyAlignment="1">
      <alignment horizontal="center" vertical="center"/>
    </xf>
    <xf numFmtId="0" fontId="12" fillId="3" borderId="59" xfId="0" applyFont="1" applyFill="1" applyBorder="1" applyAlignment="1">
      <alignment horizontal="center" vertical="center"/>
    </xf>
    <xf numFmtId="0" fontId="11" fillId="3" borderId="60" xfId="0" applyFont="1" applyFill="1" applyBorder="1" applyAlignment="1">
      <alignment horizontal="center" vertical="center"/>
    </xf>
    <xf numFmtId="0" fontId="11" fillId="3" borderId="88" xfId="0" applyFont="1" applyFill="1" applyBorder="1" applyAlignment="1">
      <alignment horizontal="center" vertical="center"/>
    </xf>
    <xf numFmtId="0" fontId="11" fillId="3" borderId="31" xfId="0" applyFont="1" applyFill="1" applyBorder="1" applyAlignment="1">
      <alignment horizontal="center" vertical="center"/>
    </xf>
    <xf numFmtId="0" fontId="11" fillId="3" borderId="61" xfId="0" applyFont="1" applyFill="1" applyBorder="1" applyAlignment="1">
      <alignment horizontal="center" vertical="center"/>
    </xf>
    <xf numFmtId="0" fontId="11" fillId="3" borderId="89" xfId="0" applyFont="1" applyFill="1" applyBorder="1" applyAlignment="1">
      <alignment horizontal="center" vertical="center"/>
    </xf>
    <xf numFmtId="0" fontId="11" fillId="3" borderId="99" xfId="0" applyFont="1" applyFill="1" applyBorder="1" applyAlignment="1">
      <alignment horizontal="center" vertical="center"/>
    </xf>
    <xf numFmtId="0" fontId="11" fillId="3" borderId="100" xfId="0" applyFont="1" applyFill="1" applyBorder="1" applyAlignment="1">
      <alignment horizontal="center" vertical="center"/>
    </xf>
    <xf numFmtId="4" fontId="6" fillId="5" borderId="89" xfId="0" applyNumberFormat="1" applyFont="1" applyFill="1" applyBorder="1" applyAlignment="1">
      <alignment horizontal="center" vertical="center" shrinkToFit="1"/>
    </xf>
    <xf numFmtId="4" fontId="6" fillId="5" borderId="99" xfId="0" applyNumberFormat="1" applyFont="1" applyFill="1" applyBorder="1" applyAlignment="1">
      <alignment horizontal="center" vertical="center" shrinkToFit="1"/>
    </xf>
    <xf numFmtId="4" fontId="6" fillId="5" borderId="113" xfId="0" applyNumberFormat="1" applyFont="1" applyFill="1" applyBorder="1" applyAlignment="1">
      <alignment horizontal="center" vertical="center" shrinkToFit="1"/>
    </xf>
    <xf numFmtId="4" fontId="6" fillId="5" borderId="100" xfId="0" applyNumberFormat="1" applyFont="1" applyFill="1" applyBorder="1" applyAlignment="1">
      <alignment horizontal="center" vertical="center" shrinkToFit="1"/>
    </xf>
    <xf numFmtId="0" fontId="10" fillId="4" borderId="2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2" fillId="0" borderId="48" xfId="0" applyFont="1" applyBorder="1" applyAlignment="1">
      <alignment horizontal="center" vertical="center"/>
    </xf>
    <xf numFmtId="0" fontId="2" fillId="0" borderId="51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5" fillId="6" borderId="39" xfId="0" applyFont="1" applyFill="1" applyBorder="1" applyAlignment="1">
      <alignment horizontal="center" vertical="center"/>
    </xf>
    <xf numFmtId="0" fontId="5" fillId="6" borderId="46" xfId="0" applyFont="1" applyFill="1" applyBorder="1" applyAlignment="1">
      <alignment horizontal="center" vertical="center"/>
    </xf>
    <xf numFmtId="0" fontId="5" fillId="6" borderId="21" xfId="0" applyFont="1" applyFill="1" applyBorder="1" applyAlignment="1">
      <alignment horizontal="center" vertical="center"/>
    </xf>
    <xf numFmtId="0" fontId="5" fillId="6" borderId="26" xfId="0" applyFont="1" applyFill="1" applyBorder="1" applyAlignment="1">
      <alignment horizontal="center" vertical="center"/>
    </xf>
    <xf numFmtId="0" fontId="2" fillId="0" borderId="39" xfId="0" applyFont="1" applyBorder="1" applyAlignment="1">
      <alignment horizontal="center" vertical="center"/>
    </xf>
    <xf numFmtId="0" fontId="2" fillId="0" borderId="47" xfId="0" applyFont="1" applyBorder="1" applyAlignment="1">
      <alignment horizontal="center" vertical="center"/>
    </xf>
    <xf numFmtId="0" fontId="2" fillId="0" borderId="46" xfId="0" applyFont="1" applyBorder="1" applyAlignment="1">
      <alignment horizontal="center" vertical="center"/>
    </xf>
    <xf numFmtId="0" fontId="14" fillId="3" borderId="59" xfId="0" applyFont="1" applyFill="1" applyBorder="1" applyAlignment="1">
      <alignment horizontal="center" vertical="center"/>
    </xf>
    <xf numFmtId="0" fontId="14" fillId="3" borderId="60" xfId="0" applyFont="1" applyFill="1" applyBorder="1" applyAlignment="1">
      <alignment horizontal="center" vertical="center"/>
    </xf>
    <xf numFmtId="0" fontId="14" fillId="3" borderId="61" xfId="0" applyFont="1" applyFill="1" applyBorder="1" applyAlignment="1">
      <alignment horizontal="center" vertical="center"/>
    </xf>
    <xf numFmtId="0" fontId="14" fillId="3" borderId="89" xfId="0" applyFont="1" applyFill="1" applyBorder="1" applyAlignment="1">
      <alignment horizontal="center" vertical="center"/>
    </xf>
    <xf numFmtId="0" fontId="14" fillId="3" borderId="99" xfId="0" applyFont="1" applyFill="1" applyBorder="1" applyAlignment="1">
      <alignment horizontal="center" vertical="center"/>
    </xf>
    <xf numFmtId="0" fontId="14" fillId="3" borderId="100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9" fillId="2" borderId="49" xfId="0" applyFont="1" applyFill="1" applyBorder="1" applyAlignment="1">
      <alignment horizontal="center" vertical="center"/>
    </xf>
    <xf numFmtId="0" fontId="10" fillId="4" borderId="125" xfId="0" applyFont="1" applyFill="1" applyBorder="1" applyAlignment="1">
      <alignment horizontal="center" vertical="center"/>
    </xf>
    <xf numFmtId="0" fontId="10" fillId="4" borderId="0" xfId="0" applyFont="1" applyFill="1" applyBorder="1" applyAlignment="1">
      <alignment horizontal="center" vertical="center"/>
    </xf>
    <xf numFmtId="0" fontId="10" fillId="4" borderId="126" xfId="0" applyFont="1" applyFill="1" applyBorder="1" applyAlignment="1">
      <alignment horizontal="center" vertical="center"/>
    </xf>
    <xf numFmtId="0" fontId="10" fillId="4" borderId="116" xfId="0" applyFont="1" applyFill="1" applyBorder="1" applyAlignment="1">
      <alignment horizontal="center" vertical="center"/>
    </xf>
    <xf numFmtId="0" fontId="10" fillId="4" borderId="117" xfId="0" applyFont="1" applyFill="1" applyBorder="1" applyAlignment="1">
      <alignment horizontal="center" vertical="center"/>
    </xf>
    <xf numFmtId="0" fontId="10" fillId="4" borderId="118" xfId="0" applyFont="1" applyFill="1" applyBorder="1" applyAlignment="1">
      <alignment horizontal="center" vertical="center"/>
    </xf>
    <xf numFmtId="0" fontId="9" fillId="2" borderId="120" xfId="0" applyFont="1" applyFill="1" applyBorder="1" applyAlignment="1">
      <alignment horizontal="center" vertical="center"/>
    </xf>
    <xf numFmtId="0" fontId="9" fillId="2" borderId="121" xfId="0" applyFont="1" applyFill="1" applyBorder="1" applyAlignment="1">
      <alignment horizontal="center" vertical="center"/>
    </xf>
    <xf numFmtId="0" fontId="9" fillId="2" borderId="122" xfId="0" applyFont="1" applyFill="1" applyBorder="1" applyAlignment="1">
      <alignment horizontal="center" vertical="center"/>
    </xf>
    <xf numFmtId="0" fontId="9" fillId="2" borderId="89" xfId="0" applyFont="1" applyFill="1" applyBorder="1" applyAlignment="1">
      <alignment horizontal="center" vertical="center"/>
    </xf>
    <xf numFmtId="0" fontId="9" fillId="2" borderId="99" xfId="0" applyFont="1" applyFill="1" applyBorder="1" applyAlignment="1">
      <alignment horizontal="center" vertical="center"/>
    </xf>
    <xf numFmtId="0" fontId="9" fillId="2" borderId="123" xfId="0" applyFont="1" applyFill="1" applyBorder="1" applyAlignment="1">
      <alignment horizontal="center" vertical="center"/>
    </xf>
    <xf numFmtId="0" fontId="22" fillId="4" borderId="2" xfId="0" applyFont="1" applyFill="1" applyBorder="1" applyAlignment="1">
      <alignment horizontal="center" vertical="center"/>
    </xf>
    <xf numFmtId="0" fontId="22" fillId="4" borderId="1" xfId="0" applyFont="1" applyFill="1" applyBorder="1" applyAlignment="1">
      <alignment horizontal="center" vertical="center"/>
    </xf>
    <xf numFmtId="0" fontId="13" fillId="0" borderId="29" xfId="0" applyFont="1" applyBorder="1" applyAlignment="1">
      <alignment horizontal="center" vertical="center" wrapText="1"/>
    </xf>
    <xf numFmtId="0" fontId="13" fillId="0" borderId="41" xfId="0" applyFont="1" applyBorder="1" applyAlignment="1">
      <alignment horizontal="center" vertical="center" wrapText="1"/>
    </xf>
    <xf numFmtId="0" fontId="8" fillId="2" borderId="36" xfId="0" applyFont="1" applyFill="1" applyBorder="1" applyAlignment="1">
      <alignment horizontal="center" vertical="center" wrapText="1"/>
    </xf>
    <xf numFmtId="0" fontId="8" fillId="2" borderId="56" xfId="0" applyFont="1" applyFill="1" applyBorder="1" applyAlignment="1">
      <alignment horizontal="center" vertical="center" wrapText="1"/>
    </xf>
    <xf numFmtId="0" fontId="8" fillId="4" borderId="54" xfId="0" applyFont="1" applyFill="1" applyBorder="1" applyAlignment="1">
      <alignment horizontal="center" vertical="center" wrapText="1"/>
    </xf>
    <xf numFmtId="0" fontId="8" fillId="4" borderId="27" xfId="0" applyFont="1" applyFill="1" applyBorder="1" applyAlignment="1">
      <alignment horizontal="center" vertical="center" wrapText="1"/>
    </xf>
    <xf numFmtId="0" fontId="8" fillId="4" borderId="55" xfId="0" applyFont="1" applyFill="1" applyBorder="1" applyAlignment="1">
      <alignment horizontal="center" vertical="center" wrapText="1"/>
    </xf>
    <xf numFmtId="0" fontId="8" fillId="4" borderId="35" xfId="0" applyFont="1" applyFill="1" applyBorder="1" applyAlignment="1">
      <alignment horizontal="center" vertical="center" wrapText="1"/>
    </xf>
    <xf numFmtId="4" fontId="5" fillId="0" borderId="58" xfId="0" applyNumberFormat="1" applyFont="1" applyBorder="1" applyAlignment="1">
      <alignment horizontal="center" vertical="center"/>
    </xf>
    <xf numFmtId="4" fontId="5" fillId="0" borderId="43" xfId="0" applyNumberFormat="1" applyFont="1" applyBorder="1" applyAlignment="1">
      <alignment horizontal="center" vertical="center"/>
    </xf>
    <xf numFmtId="4" fontId="5" fillId="0" borderId="9" xfId="0" applyNumberFormat="1" applyFont="1" applyBorder="1" applyAlignment="1">
      <alignment horizontal="center" vertical="center"/>
    </xf>
    <xf numFmtId="4" fontId="5" fillId="0" borderId="65" xfId="0" applyNumberFormat="1" applyFont="1" applyBorder="1" applyAlignment="1">
      <alignment horizontal="center" vertical="center"/>
    </xf>
    <xf numFmtId="0" fontId="13" fillId="0" borderId="46" xfId="0" applyFont="1" applyBorder="1" applyAlignment="1">
      <alignment horizontal="center" vertical="center" wrapText="1"/>
    </xf>
    <xf numFmtId="0" fontId="13" fillId="0" borderId="81" xfId="0" applyFont="1" applyBorder="1" applyAlignment="1">
      <alignment horizontal="center" vertical="center" wrapText="1"/>
    </xf>
    <xf numFmtId="0" fontId="13" fillId="0" borderId="72" xfId="0" applyFont="1" applyBorder="1" applyAlignment="1">
      <alignment horizontal="center" vertical="center" wrapText="1"/>
    </xf>
    <xf numFmtId="0" fontId="13" fillId="0" borderId="76" xfId="0" applyFont="1" applyBorder="1" applyAlignment="1">
      <alignment horizontal="center" vertical="center" wrapText="1"/>
    </xf>
    <xf numFmtId="4" fontId="5" fillId="0" borderId="32" xfId="0" applyNumberFormat="1" applyFont="1" applyBorder="1" applyAlignment="1">
      <alignment horizontal="center" vertical="center"/>
    </xf>
    <xf numFmtId="4" fontId="6" fillId="0" borderId="9" xfId="0" applyNumberFormat="1" applyFont="1" applyBorder="1" applyAlignment="1">
      <alignment horizontal="center" vertical="center" wrapText="1"/>
    </xf>
    <xf numFmtId="0" fontId="13" fillId="0" borderId="25" xfId="0" applyFont="1" applyBorder="1" applyAlignment="1">
      <alignment horizontal="center" vertical="center" wrapText="1"/>
    </xf>
    <xf numFmtId="0" fontId="13" fillId="0" borderId="71" xfId="0" applyFont="1" applyBorder="1" applyAlignment="1">
      <alignment horizontal="center" vertical="center" wrapText="1"/>
    </xf>
    <xf numFmtId="4" fontId="6" fillId="5" borderId="6" xfId="0" applyNumberFormat="1" applyFont="1" applyFill="1" applyBorder="1" applyAlignment="1">
      <alignment horizontal="center" vertical="center" shrinkToFit="1"/>
    </xf>
    <xf numFmtId="0" fontId="17" fillId="4" borderId="110" xfId="0" applyFont="1" applyFill="1" applyBorder="1" applyAlignment="1">
      <alignment horizontal="center" vertical="center" wrapText="1"/>
    </xf>
    <xf numFmtId="0" fontId="8" fillId="4" borderId="80" xfId="0" applyFont="1" applyFill="1" applyBorder="1" applyAlignment="1">
      <alignment horizontal="center" vertical="center" wrapText="1"/>
    </xf>
    <xf numFmtId="0" fontId="8" fillId="4" borderId="25" xfId="0" applyFont="1" applyFill="1" applyBorder="1" applyAlignment="1">
      <alignment horizontal="center" vertical="center" wrapText="1"/>
    </xf>
    <xf numFmtId="0" fontId="8" fillId="4" borderId="69" xfId="0" applyFont="1" applyFill="1" applyBorder="1" applyAlignment="1">
      <alignment horizontal="center" vertical="center" wrapText="1"/>
    </xf>
    <xf numFmtId="0" fontId="8" fillId="4" borderId="71" xfId="0" applyFont="1" applyFill="1" applyBorder="1" applyAlignment="1">
      <alignment horizontal="center" vertical="center" wrapText="1"/>
    </xf>
    <xf numFmtId="0" fontId="5" fillId="0" borderId="86" xfId="0" applyFont="1" applyBorder="1" applyAlignment="1">
      <alignment horizontal="center" vertical="center"/>
    </xf>
    <xf numFmtId="0" fontId="5" fillId="0" borderId="87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37" xfId="0" applyFont="1" applyBorder="1" applyAlignment="1">
      <alignment horizontal="center" vertical="center"/>
    </xf>
    <xf numFmtId="0" fontId="13" fillId="0" borderId="36" xfId="0" applyFont="1" applyBorder="1" applyAlignment="1">
      <alignment horizontal="center" vertical="center" wrapText="1"/>
    </xf>
    <xf numFmtId="0" fontId="13" fillId="0" borderId="56" xfId="0" applyFont="1" applyBorder="1" applyAlignment="1">
      <alignment horizontal="center" vertical="center" wrapText="1"/>
    </xf>
    <xf numFmtId="0" fontId="17" fillId="4" borderId="68" xfId="0" applyFont="1" applyFill="1" applyBorder="1" applyAlignment="1">
      <alignment horizontal="center" vertical="center" wrapText="1"/>
    </xf>
    <xf numFmtId="4" fontId="6" fillId="4" borderId="62" xfId="0" applyNumberFormat="1" applyFont="1" applyFill="1" applyBorder="1" applyAlignment="1">
      <alignment horizontal="center" vertical="center"/>
    </xf>
    <xf numFmtId="0" fontId="11" fillId="3" borderId="96" xfId="0" applyFont="1" applyFill="1" applyBorder="1" applyAlignment="1">
      <alignment horizontal="center" vertical="center"/>
    </xf>
    <xf numFmtId="4" fontId="6" fillId="5" borderId="97" xfId="0" applyNumberFormat="1" applyFont="1" applyFill="1" applyBorder="1" applyAlignment="1">
      <alignment horizontal="center" vertical="center" shrinkToFit="1"/>
    </xf>
    <xf numFmtId="4" fontId="6" fillId="5" borderId="44" xfId="0" applyNumberFormat="1" applyFont="1" applyFill="1" applyBorder="1" applyAlignment="1">
      <alignment horizontal="center" vertical="center" shrinkToFit="1"/>
    </xf>
    <xf numFmtId="4" fontId="6" fillId="5" borderId="98" xfId="0" applyNumberFormat="1" applyFont="1" applyFill="1" applyBorder="1" applyAlignment="1">
      <alignment horizontal="center" vertical="center" shrinkToFit="1"/>
    </xf>
    <xf numFmtId="4" fontId="6" fillId="5" borderId="45" xfId="0" applyNumberFormat="1" applyFont="1" applyFill="1" applyBorder="1" applyAlignment="1">
      <alignment horizontal="center" vertical="center" shrinkToFit="1"/>
    </xf>
    <xf numFmtId="0" fontId="10" fillId="4" borderId="127" xfId="0" applyFont="1" applyFill="1" applyBorder="1" applyAlignment="1">
      <alignment horizontal="center" vertical="center"/>
    </xf>
    <xf numFmtId="0" fontId="10" fillId="4" borderId="119" xfId="0" applyFont="1" applyFill="1" applyBorder="1" applyAlignment="1">
      <alignment horizontal="center" vertical="center"/>
    </xf>
    <xf numFmtId="0" fontId="9" fillId="2" borderId="124" xfId="0" applyFont="1" applyFill="1" applyBorder="1" applyAlignment="1">
      <alignment horizontal="center" vertical="center"/>
    </xf>
    <xf numFmtId="0" fontId="9" fillId="2" borderId="136" xfId="0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0" fontId="9" fillId="2" borderId="29" xfId="0" applyFont="1" applyFill="1" applyBorder="1" applyAlignment="1">
      <alignment horizontal="center" vertical="center"/>
    </xf>
    <xf numFmtId="0" fontId="9" fillId="2" borderId="40" xfId="0" applyFont="1" applyFill="1" applyBorder="1" applyAlignment="1">
      <alignment horizontal="center" vertical="center"/>
    </xf>
    <xf numFmtId="0" fontId="12" fillId="3" borderId="3" xfId="0" applyFont="1" applyFill="1" applyBorder="1" applyAlignment="1">
      <alignment horizontal="center" vertical="center"/>
    </xf>
    <xf numFmtId="0" fontId="11" fillId="3" borderId="4" xfId="0" applyFont="1" applyFill="1" applyBorder="1" applyAlignment="1">
      <alignment horizontal="center" vertical="center"/>
    </xf>
    <xf numFmtId="0" fontId="11" fillId="3" borderId="5" xfId="0" applyFont="1" applyFill="1" applyBorder="1" applyAlignment="1">
      <alignment horizontal="center" vertical="center"/>
    </xf>
    <xf numFmtId="0" fontId="11" fillId="3" borderId="32" xfId="0" applyFont="1" applyFill="1" applyBorder="1" applyAlignment="1">
      <alignment horizontal="center" vertical="center"/>
    </xf>
    <xf numFmtId="0" fontId="11" fillId="3" borderId="33" xfId="0" applyFont="1" applyFill="1" applyBorder="1" applyAlignment="1">
      <alignment horizontal="center" vertical="center"/>
    </xf>
    <xf numFmtId="0" fontId="12" fillId="3" borderId="4" xfId="0" applyFont="1" applyFill="1" applyBorder="1" applyAlignment="1">
      <alignment horizontal="center" vertical="center"/>
    </xf>
    <xf numFmtId="0" fontId="10" fillId="4" borderId="40" xfId="0" applyFont="1" applyFill="1" applyBorder="1" applyAlignment="1">
      <alignment horizontal="center" vertical="center" wrapText="1"/>
    </xf>
    <xf numFmtId="0" fontId="10" fillId="4" borderId="27" xfId="0" applyFont="1" applyFill="1" applyBorder="1" applyAlignment="1">
      <alignment horizontal="center" vertical="center" wrapText="1"/>
    </xf>
    <xf numFmtId="0" fontId="10" fillId="4" borderId="40" xfId="0" applyFont="1" applyFill="1" applyBorder="1" applyAlignment="1">
      <alignment horizontal="center" vertical="center"/>
    </xf>
    <xf numFmtId="0" fontId="10" fillId="4" borderId="27" xfId="0" applyFont="1" applyFill="1" applyBorder="1" applyAlignment="1">
      <alignment horizontal="center" vertical="center"/>
    </xf>
    <xf numFmtId="0" fontId="9" fillId="2" borderId="93" xfId="0" applyFont="1" applyFill="1" applyBorder="1" applyAlignment="1">
      <alignment horizontal="center" vertical="center"/>
    </xf>
    <xf numFmtId="0" fontId="9" fillId="2" borderId="95" xfId="0" applyFont="1" applyFill="1" applyBorder="1" applyAlignment="1">
      <alignment horizontal="center" vertical="center"/>
    </xf>
    <xf numFmtId="0" fontId="10" fillId="4" borderId="95" xfId="0" applyFont="1" applyFill="1" applyBorder="1" applyAlignment="1">
      <alignment horizontal="center" vertical="center"/>
    </xf>
    <xf numFmtId="0" fontId="10" fillId="4" borderId="94" xfId="0" applyFont="1" applyFill="1" applyBorder="1" applyAlignment="1">
      <alignment horizontal="center" vertical="center"/>
    </xf>
    <xf numFmtId="4" fontId="6" fillId="5" borderId="43" xfId="0" applyNumberFormat="1" applyFont="1" applyFill="1" applyBorder="1" applyAlignment="1">
      <alignment horizontal="center" vertical="center" shrinkToFit="1"/>
    </xf>
    <xf numFmtId="0" fontId="10" fillId="4" borderId="21" xfId="0" applyFont="1" applyFill="1" applyBorder="1" applyAlignment="1">
      <alignment horizontal="center" vertical="center"/>
    </xf>
    <xf numFmtId="0" fontId="10" fillId="4" borderId="26" xfId="0" applyFont="1" applyFill="1" applyBorder="1" applyAlignment="1">
      <alignment horizontal="center" vertical="center"/>
    </xf>
    <xf numFmtId="0" fontId="10" fillId="4" borderId="24" xfId="0" applyFont="1" applyFill="1" applyBorder="1" applyAlignment="1">
      <alignment horizontal="center" vertical="center"/>
    </xf>
    <xf numFmtId="0" fontId="10" fillId="4" borderId="31" xfId="0" applyFont="1" applyFill="1" applyBorder="1" applyAlignment="1">
      <alignment horizontal="center" vertical="center"/>
    </xf>
    <xf numFmtId="0" fontId="10" fillId="4" borderId="25" xfId="0" applyFont="1" applyFill="1" applyBorder="1" applyAlignment="1">
      <alignment horizontal="center" vertical="center"/>
    </xf>
    <xf numFmtId="0" fontId="9" fillId="2" borderId="39" xfId="0" applyFont="1" applyFill="1" applyBorder="1" applyAlignment="1">
      <alignment horizontal="center" vertical="center"/>
    </xf>
    <xf numFmtId="0" fontId="9" fillId="2" borderId="47" xfId="0" applyFont="1" applyFill="1" applyBorder="1" applyAlignment="1">
      <alignment horizontal="center" vertical="center"/>
    </xf>
    <xf numFmtId="0" fontId="9" fillId="2" borderId="42" xfId="0" applyFont="1" applyFill="1" applyBorder="1" applyAlignment="1">
      <alignment horizontal="center" vertical="center"/>
    </xf>
    <xf numFmtId="0" fontId="9" fillId="2" borderId="50" xfId="0" applyFont="1" applyFill="1" applyBorder="1" applyAlignment="1">
      <alignment horizontal="center" vertical="center"/>
    </xf>
    <xf numFmtId="0" fontId="9" fillId="2" borderId="44" xfId="0" applyFont="1" applyFill="1" applyBorder="1" applyAlignment="1">
      <alignment horizontal="center" vertical="center"/>
    </xf>
    <xf numFmtId="0" fontId="9" fillId="2" borderId="45" xfId="0" applyFont="1" applyFill="1" applyBorder="1" applyAlignment="1">
      <alignment horizontal="center" vertical="center"/>
    </xf>
    <xf numFmtId="2" fontId="9" fillId="2" borderId="39" xfId="0" applyNumberFormat="1" applyFont="1" applyFill="1" applyBorder="1" applyAlignment="1">
      <alignment horizontal="center" vertical="center"/>
    </xf>
    <xf numFmtId="2" fontId="9" fillId="2" borderId="47" xfId="0" applyNumberFormat="1" applyFont="1" applyFill="1" applyBorder="1" applyAlignment="1">
      <alignment horizontal="center" vertical="center"/>
    </xf>
    <xf numFmtId="2" fontId="9" fillId="2" borderId="42" xfId="0" applyNumberFormat="1" applyFont="1" applyFill="1" applyBorder="1" applyAlignment="1">
      <alignment horizontal="center" vertical="center"/>
    </xf>
    <xf numFmtId="2" fontId="9" fillId="2" borderId="50" xfId="0" applyNumberFormat="1" applyFont="1" applyFill="1" applyBorder="1" applyAlignment="1">
      <alignment horizontal="center" vertical="center"/>
    </xf>
    <xf numFmtId="2" fontId="9" fillId="2" borderId="44" xfId="0" applyNumberFormat="1" applyFont="1" applyFill="1" applyBorder="1" applyAlignment="1">
      <alignment horizontal="center" vertical="center"/>
    </xf>
    <xf numFmtId="2" fontId="9" fillId="2" borderId="45" xfId="0" applyNumberFormat="1" applyFont="1" applyFill="1" applyBorder="1" applyAlignment="1">
      <alignment horizontal="center" vertical="center"/>
    </xf>
    <xf numFmtId="0" fontId="16" fillId="2" borderId="29" xfId="0" applyFont="1" applyFill="1" applyBorder="1" applyAlignment="1">
      <alignment horizontal="center" vertical="center" wrapText="1"/>
    </xf>
    <xf numFmtId="0" fontId="16" fillId="2" borderId="41" xfId="0" applyFont="1" applyFill="1" applyBorder="1" applyAlignment="1">
      <alignment horizontal="center" vertical="center" wrapText="1"/>
    </xf>
    <xf numFmtId="0" fontId="12" fillId="3" borderId="32" xfId="0" applyFont="1" applyFill="1" applyBorder="1" applyAlignment="1">
      <alignment horizontal="center" vertical="center"/>
    </xf>
    <xf numFmtId="0" fontId="18" fillId="0" borderId="86" xfId="0" applyFont="1" applyBorder="1" applyAlignment="1">
      <alignment horizontal="center" vertical="center" wrapText="1"/>
    </xf>
    <xf numFmtId="0" fontId="18" fillId="0" borderId="129" xfId="0" applyFont="1" applyBorder="1" applyAlignment="1">
      <alignment horizontal="center" vertical="center" wrapText="1"/>
    </xf>
    <xf numFmtId="4" fontId="5" fillId="0" borderId="86" xfId="0" applyNumberFormat="1" applyFont="1" applyBorder="1" applyAlignment="1">
      <alignment horizontal="center" vertical="center"/>
    </xf>
    <xf numFmtId="4" fontId="5" fillId="0" borderId="87" xfId="0" applyNumberFormat="1" applyFont="1" applyBorder="1" applyAlignment="1">
      <alignment horizontal="center" vertical="center"/>
    </xf>
    <xf numFmtId="0" fontId="17" fillId="0" borderId="75" xfId="0" applyFont="1" applyFill="1" applyBorder="1" applyAlignment="1">
      <alignment horizontal="center" vertical="center" wrapText="1"/>
    </xf>
    <xf numFmtId="176" fontId="16" fillId="0" borderId="75" xfId="0" applyNumberFormat="1" applyFont="1" applyBorder="1" applyAlignment="1">
      <alignment horizontal="center" vertical="center" wrapText="1"/>
    </xf>
    <xf numFmtId="2" fontId="16" fillId="0" borderId="132" xfId="0" applyNumberFormat="1" applyFont="1" applyBorder="1" applyAlignment="1">
      <alignment horizontal="center" vertical="center" wrapText="1"/>
    </xf>
    <xf numFmtId="2" fontId="16" fillId="0" borderId="135" xfId="0" applyNumberFormat="1" applyFont="1" applyBorder="1" applyAlignment="1">
      <alignment horizontal="center" vertical="center" wrapText="1"/>
    </xf>
    <xf numFmtId="0" fontId="16" fillId="0" borderId="130" xfId="0" applyFont="1" applyBorder="1" applyAlignment="1">
      <alignment horizontal="center" vertical="center" wrapText="1"/>
    </xf>
    <xf numFmtId="0" fontId="16" fillId="0" borderId="134" xfId="0" applyFont="1" applyBorder="1" applyAlignment="1">
      <alignment horizontal="center" vertical="center" wrapText="1"/>
    </xf>
    <xf numFmtId="0" fontId="18" fillId="0" borderId="87" xfId="0" applyFont="1" applyBorder="1" applyAlignment="1">
      <alignment horizontal="center" vertical="center" wrapText="1"/>
    </xf>
    <xf numFmtId="176" fontId="16" fillId="0" borderId="130" xfId="0" applyNumberFormat="1" applyFont="1" applyBorder="1" applyAlignment="1">
      <alignment horizontal="center" vertical="center" wrapText="1"/>
    </xf>
    <xf numFmtId="176" fontId="16" fillId="0" borderId="131" xfId="0" applyNumberFormat="1" applyFont="1" applyBorder="1" applyAlignment="1">
      <alignment horizontal="center" vertical="center" wrapText="1"/>
    </xf>
    <xf numFmtId="4" fontId="6" fillId="0" borderId="86" xfId="0" applyNumberFormat="1" applyFont="1" applyBorder="1" applyAlignment="1">
      <alignment horizontal="center" vertical="center" wrapText="1"/>
    </xf>
    <xf numFmtId="4" fontId="6" fillId="0" borderId="129" xfId="0" applyNumberFormat="1" applyFont="1" applyBorder="1" applyAlignment="1">
      <alignment horizontal="center" vertical="center" wrapText="1"/>
    </xf>
    <xf numFmtId="0" fontId="17" fillId="0" borderId="27" xfId="0" applyFont="1" applyFill="1" applyBorder="1" applyAlignment="1">
      <alignment horizontal="center" vertical="center" wrapText="1"/>
    </xf>
    <xf numFmtId="176" fontId="16" fillId="0" borderId="27" xfId="0" applyNumberFormat="1" applyFont="1" applyBorder="1" applyAlignment="1">
      <alignment horizontal="center" vertical="center" wrapText="1"/>
    </xf>
    <xf numFmtId="2" fontId="16" fillId="0" borderId="133" xfId="0" applyNumberFormat="1" applyFont="1" applyBorder="1" applyAlignment="1">
      <alignment horizontal="center" vertical="center" wrapText="1"/>
    </xf>
    <xf numFmtId="0" fontId="16" fillId="0" borderId="131" xfId="0" applyFont="1" applyBorder="1" applyAlignment="1">
      <alignment horizontal="center" vertical="center" wrapText="1"/>
    </xf>
    <xf numFmtId="4" fontId="5" fillId="0" borderId="129" xfId="0" applyNumberFormat="1" applyFont="1" applyBorder="1" applyAlignment="1">
      <alignment horizontal="center" vertical="center"/>
    </xf>
    <xf numFmtId="2" fontId="18" fillId="0" borderId="132" xfId="0" applyNumberFormat="1" applyFont="1" applyBorder="1" applyAlignment="1">
      <alignment horizontal="center" vertical="center" wrapText="1"/>
    </xf>
    <xf numFmtId="2" fontId="18" fillId="0" borderId="133" xfId="0" applyNumberFormat="1" applyFont="1" applyBorder="1" applyAlignment="1">
      <alignment horizontal="center" vertical="center" wrapText="1"/>
    </xf>
    <xf numFmtId="0" fontId="18" fillId="0" borderId="130" xfId="0" applyFont="1" applyBorder="1" applyAlignment="1">
      <alignment horizontal="center" vertical="center" wrapText="1"/>
    </xf>
    <xf numFmtId="0" fontId="18" fillId="0" borderId="131" xfId="0" applyFont="1" applyBorder="1" applyAlignment="1">
      <alignment horizontal="center" vertical="center" wrapText="1"/>
    </xf>
  </cellXfs>
  <cellStyles count="1">
    <cellStyle name="표준" xfId="0" builtinId="0"/>
  </cellStyles>
  <dxfs count="302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C000"/>
        </patternFill>
      </fill>
    </dxf>
    <dxf>
      <font>
        <color theme="1"/>
      </font>
      <fill>
        <patternFill patternType="none">
          <bgColor auto="1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0070C0"/>
      </font>
      <fill>
        <patternFill>
          <bgColor rgb="FFCCECFF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b/>
        <i val="0"/>
        <color rgb="FF0070C0"/>
      </font>
      <fill>
        <patternFill>
          <bgColor rgb="FFCCECFF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b/>
        <i val="0"/>
        <color rgb="FF0070C0"/>
      </font>
      <fill>
        <patternFill>
          <bgColor rgb="FFCCECFF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color auto="1"/>
      </font>
    </dxf>
    <dxf>
      <font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C000"/>
        </patternFill>
      </fill>
    </dxf>
    <dxf>
      <font>
        <color theme="1"/>
      </font>
      <fill>
        <patternFill patternType="none">
          <bgColor auto="1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0070C0"/>
      </font>
      <fill>
        <patternFill>
          <bgColor rgb="FFCCECFF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b/>
        <i val="0"/>
        <color rgb="FF0070C0"/>
      </font>
      <fill>
        <patternFill>
          <bgColor rgb="FFCCECFF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b/>
        <i val="0"/>
        <color rgb="FF0070C0"/>
      </font>
      <fill>
        <patternFill>
          <bgColor rgb="FFCCECFF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color auto="1"/>
      </font>
    </dxf>
    <dxf>
      <font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C000"/>
        </patternFill>
      </fill>
    </dxf>
    <dxf>
      <font>
        <color theme="1"/>
      </font>
      <fill>
        <patternFill patternType="none">
          <bgColor auto="1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0070C0"/>
      </font>
      <fill>
        <patternFill>
          <bgColor rgb="FFCCECFF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b/>
        <i val="0"/>
        <color rgb="FF0070C0"/>
      </font>
      <fill>
        <patternFill>
          <bgColor rgb="FFCCECFF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b/>
        <i val="0"/>
        <color rgb="FF0070C0"/>
      </font>
      <fill>
        <patternFill>
          <bgColor rgb="FFCCECFF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color auto="1"/>
      </font>
    </dxf>
    <dxf>
      <font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C000"/>
        </patternFill>
      </fill>
    </dxf>
    <dxf>
      <font>
        <color theme="1"/>
      </font>
      <fill>
        <patternFill patternType="none">
          <bgColor auto="1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0070C0"/>
      </font>
      <fill>
        <patternFill>
          <bgColor rgb="FFCCECFF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b/>
        <i val="0"/>
        <color rgb="FF0070C0"/>
      </font>
      <fill>
        <patternFill>
          <bgColor rgb="FFCCECFF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b/>
        <i val="0"/>
        <color rgb="FF0070C0"/>
      </font>
      <fill>
        <patternFill>
          <bgColor rgb="FFCCECFF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color auto="1"/>
      </font>
    </dxf>
    <dxf>
      <font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C000"/>
        </patternFill>
      </fill>
    </dxf>
    <dxf>
      <font>
        <color theme="1"/>
      </font>
      <fill>
        <patternFill patternType="none">
          <bgColor auto="1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0070C0"/>
      </font>
      <fill>
        <patternFill>
          <bgColor rgb="FFCCECFF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b/>
        <i val="0"/>
        <color rgb="FF0070C0"/>
      </font>
      <fill>
        <patternFill>
          <bgColor rgb="FFCCECFF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b/>
        <i val="0"/>
        <color rgb="FF0070C0"/>
      </font>
      <fill>
        <patternFill>
          <bgColor rgb="FFCCECFF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color auto="1"/>
      </font>
    </dxf>
    <dxf>
      <font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C000"/>
        </patternFill>
      </fill>
    </dxf>
    <dxf>
      <font>
        <color theme="1"/>
      </font>
      <fill>
        <patternFill patternType="none">
          <bgColor auto="1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0070C0"/>
      </font>
      <fill>
        <patternFill>
          <bgColor rgb="FFCCECFF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b/>
        <i val="0"/>
        <color rgb="FF0070C0"/>
      </font>
      <fill>
        <patternFill>
          <bgColor rgb="FFCCECFF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b/>
        <i val="0"/>
        <color rgb="FF0070C0"/>
      </font>
      <fill>
        <patternFill>
          <bgColor rgb="FFCCECFF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color auto="1"/>
      </font>
    </dxf>
    <dxf>
      <font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C000"/>
        </patternFill>
      </fill>
    </dxf>
    <dxf>
      <font>
        <color theme="1"/>
      </font>
      <fill>
        <patternFill patternType="none">
          <bgColor auto="1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0070C0"/>
      </font>
      <fill>
        <patternFill>
          <bgColor rgb="FFCCECFF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b/>
        <i val="0"/>
        <color rgb="FF0070C0"/>
      </font>
      <fill>
        <patternFill>
          <bgColor rgb="FFCCECFF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b/>
        <i val="0"/>
        <color rgb="FF0070C0"/>
      </font>
      <fill>
        <patternFill>
          <bgColor rgb="FFCCECFF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color auto="1"/>
      </font>
    </dxf>
    <dxf>
      <font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C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1"/>
      </font>
      <fill>
        <patternFill patternType="none">
          <bgColor auto="1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0070C0"/>
      </font>
      <fill>
        <patternFill>
          <bgColor rgb="FFCCECFF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b/>
        <i val="0"/>
        <color rgb="FF0070C0"/>
      </font>
      <fill>
        <patternFill>
          <bgColor rgb="FFCCECFF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b/>
        <i val="0"/>
        <color rgb="FF0070C0"/>
      </font>
      <fill>
        <patternFill>
          <bgColor rgb="FFCCECFF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color auto="1"/>
      </font>
    </dxf>
    <dxf>
      <font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C000"/>
        </patternFill>
      </fill>
    </dxf>
    <dxf>
      <font>
        <color theme="1"/>
      </font>
      <fill>
        <patternFill patternType="none">
          <bgColor auto="1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0070C0"/>
      </font>
      <fill>
        <patternFill>
          <bgColor rgb="FFCCECFF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b/>
        <i val="0"/>
        <color rgb="FF0070C0"/>
      </font>
      <fill>
        <patternFill>
          <bgColor rgb="FFCCECFF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b/>
        <i val="0"/>
        <color rgb="FF0070C0"/>
      </font>
      <fill>
        <patternFill>
          <bgColor rgb="FFCCECFF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color auto="1"/>
      </font>
    </dxf>
    <dxf>
      <font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C000"/>
        </patternFill>
      </fill>
    </dxf>
    <dxf>
      <font>
        <color theme="1"/>
      </font>
      <fill>
        <patternFill patternType="none">
          <bgColor auto="1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0070C0"/>
      </font>
      <fill>
        <patternFill>
          <bgColor rgb="FFCCECFF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b/>
        <i val="0"/>
        <color rgb="FF0070C0"/>
      </font>
      <fill>
        <patternFill>
          <bgColor rgb="FFCCECFF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b/>
        <i val="0"/>
        <color rgb="FF0070C0"/>
      </font>
      <fill>
        <patternFill>
          <bgColor rgb="FFCCECFF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color auto="1"/>
      </font>
    </dxf>
    <dxf>
      <font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C000"/>
        </patternFill>
      </fill>
    </dxf>
    <dxf>
      <font>
        <color theme="1"/>
      </font>
      <fill>
        <patternFill patternType="none">
          <bgColor auto="1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0070C0"/>
      </font>
      <fill>
        <patternFill>
          <bgColor rgb="FFCCECFF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b/>
        <i val="0"/>
        <color rgb="FF0070C0"/>
      </font>
      <fill>
        <patternFill>
          <bgColor rgb="FFCCECFF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b/>
        <i val="0"/>
        <color rgb="FF0070C0"/>
      </font>
      <fill>
        <patternFill>
          <bgColor rgb="FFCCECFF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color auto="1"/>
      </font>
    </dxf>
    <dxf>
      <font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C000"/>
        </patternFill>
      </fill>
    </dxf>
    <dxf>
      <font>
        <color theme="1"/>
      </font>
      <fill>
        <patternFill patternType="none">
          <bgColor auto="1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0070C0"/>
      </font>
      <fill>
        <patternFill>
          <bgColor rgb="FFCCECFF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b/>
        <i val="0"/>
        <color rgb="FF0070C0"/>
      </font>
      <fill>
        <patternFill>
          <bgColor rgb="FFCCECFF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b/>
        <i val="0"/>
        <color rgb="FF0070C0"/>
      </font>
      <fill>
        <patternFill>
          <bgColor rgb="FFCCECFF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color auto="1"/>
      </font>
    </dxf>
    <dxf>
      <font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C000"/>
        </patternFill>
      </fill>
    </dxf>
    <dxf>
      <font>
        <color theme="1"/>
      </font>
      <fill>
        <patternFill patternType="none">
          <bgColor auto="1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0070C0"/>
      </font>
      <fill>
        <patternFill>
          <bgColor rgb="FFCCECFF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b/>
        <i val="0"/>
        <color rgb="FF0070C0"/>
      </font>
      <fill>
        <patternFill>
          <bgColor rgb="FFCCECFF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b/>
        <i val="0"/>
        <color rgb="FF0070C0"/>
      </font>
      <fill>
        <patternFill>
          <bgColor rgb="FFCCECFF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color auto="1"/>
      </font>
    </dxf>
    <dxf>
      <font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C000"/>
        </patternFill>
      </fill>
    </dxf>
    <dxf>
      <font>
        <color theme="1"/>
      </font>
      <fill>
        <patternFill patternType="none">
          <bgColor auto="1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0070C0"/>
      </font>
      <fill>
        <patternFill>
          <bgColor rgb="FFCCECFF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b/>
        <i val="0"/>
        <color rgb="FF0070C0"/>
      </font>
      <fill>
        <patternFill>
          <bgColor rgb="FFCCECFF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b/>
        <i val="0"/>
        <color rgb="FF0070C0"/>
      </font>
      <fill>
        <patternFill>
          <bgColor rgb="FFCCECFF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color auto="1"/>
      </font>
    </dxf>
    <dxf>
      <font>
        <color rgb="FFFF0000"/>
      </font>
      <fill>
        <patternFill>
          <bgColor rgb="FFFFFF00"/>
        </patternFill>
      </fill>
    </dxf>
  </dxfs>
  <tableStyles count="0" defaultTableStyle="TableStyleMedium2" defaultPivotStyle="PivotStyleLight16"/>
  <colors>
    <mruColors>
      <color rgb="FFD9E1F2"/>
      <color rgb="FFD9F500"/>
      <color rgb="FF82A0DC"/>
      <color rgb="FFCCECFF"/>
      <color rgb="FF82A0D2"/>
      <color rgb="FFFFCCCC"/>
      <color rgb="FF1F4E78"/>
      <color rgb="FF63A0F9"/>
      <color rgb="FF82B4FA"/>
      <color rgb="FF82A0F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D11F26-6E2C-49BF-B78E-D4917F0204FA}">
  <dimension ref="A1:P44"/>
  <sheetViews>
    <sheetView view="pageBreakPreview" zoomScale="85" zoomScaleNormal="100" zoomScaleSheetLayoutView="85" workbookViewId="0"/>
  </sheetViews>
  <sheetFormatPr defaultRowHeight="17.399999999999999" outlineLevelCol="1" x14ac:dyDescent="0.4"/>
  <cols>
    <col min="1" max="11" width="12.59765625" style="6" customWidth="1"/>
    <col min="12" max="13" width="12.59765625" style="6" hidden="1" customWidth="1" outlineLevel="1"/>
    <col min="14" max="14" width="12.59765625" style="6" customWidth="1" collapsed="1"/>
    <col min="15" max="16" width="12.59765625" style="6" customWidth="1"/>
    <col min="17" max="22" width="12.59765625" customWidth="1"/>
  </cols>
  <sheetData>
    <row r="1" spans="1:13" ht="20.100000000000001" customHeight="1" x14ac:dyDescent="0.4">
      <c r="A1" s="5" t="s">
        <v>14</v>
      </c>
      <c r="B1" s="188"/>
      <c r="C1" s="189"/>
      <c r="D1" s="190"/>
      <c r="E1" s="191" t="s">
        <v>35</v>
      </c>
      <c r="F1" s="192"/>
      <c r="G1" s="188" t="s">
        <v>36</v>
      </c>
      <c r="H1" s="189"/>
      <c r="I1" s="189"/>
      <c r="J1" s="189"/>
      <c r="K1" s="189"/>
      <c r="L1" s="189"/>
      <c r="M1" s="190"/>
    </row>
    <row r="2" spans="1:13" ht="20.100000000000001" customHeight="1" thickBot="1" x14ac:dyDescent="0.45">
      <c r="A2" s="18" t="s">
        <v>47</v>
      </c>
      <c r="B2" s="195"/>
      <c r="C2" s="196"/>
      <c r="D2" s="197"/>
      <c r="E2" s="193"/>
      <c r="F2" s="194"/>
      <c r="G2" s="195" t="s">
        <v>45</v>
      </c>
      <c r="H2" s="196"/>
      <c r="I2" s="196"/>
      <c r="J2" s="196"/>
      <c r="K2" s="196"/>
      <c r="L2" s="196"/>
      <c r="M2" s="197"/>
    </row>
    <row r="3" spans="1:13" ht="24.9" customHeight="1" x14ac:dyDescent="0.4">
      <c r="A3" s="198" t="s">
        <v>51</v>
      </c>
      <c r="B3" s="199"/>
      <c r="C3" s="199"/>
      <c r="D3" s="199"/>
      <c r="E3" s="199"/>
      <c r="F3" s="199"/>
      <c r="G3" s="199"/>
      <c r="H3" s="199"/>
      <c r="I3" s="199"/>
      <c r="J3" s="199"/>
      <c r="K3" s="199"/>
      <c r="L3" s="199"/>
      <c r="M3" s="200"/>
    </row>
    <row r="4" spans="1:13" ht="24.9" customHeight="1" thickBot="1" x14ac:dyDescent="0.45">
      <c r="A4" s="201"/>
      <c r="B4" s="202"/>
      <c r="C4" s="202"/>
      <c r="D4" s="202"/>
      <c r="E4" s="202"/>
      <c r="F4" s="202"/>
      <c r="G4" s="202"/>
      <c r="H4" s="202"/>
      <c r="I4" s="202"/>
      <c r="J4" s="202"/>
      <c r="K4" s="202"/>
      <c r="L4" s="202"/>
      <c r="M4" s="203"/>
    </row>
    <row r="5" spans="1:13" ht="24.9" customHeight="1" x14ac:dyDescent="0.4">
      <c r="A5" s="206" t="s">
        <v>20</v>
      </c>
      <c r="B5" s="207"/>
      <c r="C5" s="207"/>
      <c r="D5" s="207"/>
      <c r="E5" s="208"/>
      <c r="F5" s="186" t="s">
        <v>53</v>
      </c>
      <c r="G5" s="186"/>
      <c r="H5" s="186" t="s">
        <v>54</v>
      </c>
      <c r="I5" s="186"/>
      <c r="J5" s="218" t="s">
        <v>55</v>
      </c>
      <c r="K5" s="218"/>
      <c r="L5" s="21"/>
      <c r="M5" s="27"/>
    </row>
    <row r="6" spans="1:13" ht="20.100000000000001" customHeight="1" x14ac:dyDescent="0.4">
      <c r="A6" s="209"/>
      <c r="B6" s="210"/>
      <c r="C6" s="210"/>
      <c r="D6" s="210"/>
      <c r="E6" s="211"/>
      <c r="F6" s="187"/>
      <c r="G6" s="187"/>
      <c r="H6" s="187"/>
      <c r="I6" s="187"/>
      <c r="J6" s="219"/>
      <c r="K6" s="219"/>
      <c r="L6" s="22"/>
      <c r="M6" s="28"/>
    </row>
    <row r="7" spans="1:13" ht="20.100000000000001" customHeight="1" x14ac:dyDescent="0.4">
      <c r="A7" s="212" t="s">
        <v>50</v>
      </c>
      <c r="B7" s="213"/>
      <c r="C7" s="213"/>
      <c r="D7" s="213"/>
      <c r="E7" s="214"/>
      <c r="F7" s="204"/>
      <c r="G7" s="204"/>
      <c r="H7" s="204"/>
      <c r="I7" s="204"/>
      <c r="J7" s="204"/>
      <c r="K7" s="204"/>
      <c r="L7" s="23"/>
      <c r="M7" s="25"/>
    </row>
    <row r="8" spans="1:13" ht="20.100000000000001" customHeight="1" thickBot="1" x14ac:dyDescent="0.45">
      <c r="A8" s="215"/>
      <c r="B8" s="216"/>
      <c r="C8" s="216"/>
      <c r="D8" s="216"/>
      <c r="E8" s="217"/>
      <c r="F8" s="205"/>
      <c r="G8" s="205"/>
      <c r="H8" s="205"/>
      <c r="I8" s="205"/>
      <c r="J8" s="205"/>
      <c r="K8" s="205"/>
      <c r="L8" s="24"/>
      <c r="M8" s="26"/>
    </row>
    <row r="9" spans="1:13" ht="24.9" customHeight="1" x14ac:dyDescent="0.4">
      <c r="A9" s="174" t="s">
        <v>12</v>
      </c>
      <c r="B9" s="175"/>
      <c r="C9" s="175"/>
      <c r="D9" s="175"/>
      <c r="E9" s="175"/>
      <c r="F9" s="174" t="s">
        <v>40</v>
      </c>
      <c r="G9" s="175"/>
      <c r="H9" s="175"/>
      <c r="I9" s="175"/>
      <c r="J9" s="175"/>
      <c r="K9" s="175"/>
      <c r="L9" s="175"/>
      <c r="M9" s="178"/>
    </row>
    <row r="10" spans="1:13" ht="24.9" customHeight="1" thickBot="1" x14ac:dyDescent="0.45">
      <c r="A10" s="176"/>
      <c r="B10" s="177"/>
      <c r="C10" s="177"/>
      <c r="D10" s="177"/>
      <c r="E10" s="177"/>
      <c r="F10" s="179"/>
      <c r="G10" s="180"/>
      <c r="H10" s="180"/>
      <c r="I10" s="180"/>
      <c r="J10" s="180"/>
      <c r="K10" s="180"/>
      <c r="L10" s="180"/>
      <c r="M10" s="181"/>
    </row>
    <row r="11" spans="1:13" ht="21.9" customHeight="1" thickBot="1" x14ac:dyDescent="0.45">
      <c r="A11" s="182" t="s">
        <v>6</v>
      </c>
      <c r="B11" s="183"/>
      <c r="C11" s="183"/>
      <c r="D11" s="183"/>
      <c r="E11" s="184"/>
      <c r="F11" s="183" t="str">
        <f>A11</f>
        <v>30M-1G</v>
      </c>
      <c r="G11" s="183"/>
      <c r="H11" s="183"/>
      <c r="I11" s="183"/>
      <c r="J11" s="59"/>
      <c r="K11" s="183"/>
      <c r="L11" s="183"/>
      <c r="M11" s="185"/>
    </row>
    <row r="12" spans="1:13" ht="21.9" customHeight="1" thickTop="1" x14ac:dyDescent="0.4">
      <c r="A12" s="171" t="s">
        <v>44</v>
      </c>
      <c r="B12" s="172" t="s">
        <v>4</v>
      </c>
      <c r="C12" s="172" t="s">
        <v>16</v>
      </c>
      <c r="D12" s="172" t="s">
        <v>3</v>
      </c>
      <c r="E12" s="173" t="s">
        <v>2</v>
      </c>
      <c r="F12" s="171" t="s">
        <v>44</v>
      </c>
      <c r="G12" s="168" t="s">
        <v>18</v>
      </c>
      <c r="H12" s="168" t="s">
        <v>30</v>
      </c>
      <c r="I12" s="169" t="s">
        <v>42</v>
      </c>
      <c r="J12" s="74" t="s">
        <v>43</v>
      </c>
      <c r="K12" s="77" t="s">
        <v>9</v>
      </c>
      <c r="L12" s="170" t="s">
        <v>19</v>
      </c>
      <c r="M12" s="158" t="s">
        <v>7</v>
      </c>
    </row>
    <row r="13" spans="1:13" ht="21.9" customHeight="1" x14ac:dyDescent="0.4">
      <c r="A13" s="61"/>
      <c r="B13" s="63"/>
      <c r="C13" s="63"/>
      <c r="D13" s="63"/>
      <c r="E13" s="99"/>
      <c r="F13" s="61"/>
      <c r="G13" s="101"/>
      <c r="H13" s="101"/>
      <c r="I13" s="73"/>
      <c r="J13" s="75"/>
      <c r="K13" s="147"/>
      <c r="L13" s="79"/>
      <c r="M13" s="81"/>
    </row>
    <row r="14" spans="1:13" ht="21.9" customHeight="1" x14ac:dyDescent="0.4">
      <c r="A14" s="159" t="s">
        <v>27</v>
      </c>
      <c r="B14" s="3"/>
      <c r="C14" s="3"/>
      <c r="D14" s="3"/>
      <c r="E14" s="11" t="s">
        <v>28</v>
      </c>
      <c r="F14" s="161" t="str">
        <f>A14</f>
        <v>Spurious</v>
      </c>
      <c r="G14" s="42" t="str">
        <f>IF(COUNT(B14:D14)=0, "H", IF(COUNT(B15:D15)=0, "V", IF(MAX(B14:D14) &gt;= MAX(B15:D15), "V", "H")))</f>
        <v>H</v>
      </c>
      <c r="H14" s="44">
        <f>MAX(B14:D15)</f>
        <v>0</v>
      </c>
      <c r="I14" s="120">
        <v>-36</v>
      </c>
      <c r="J14" s="134" t="str">
        <f>IF(OR(I14-H14&gt;10,I14-H14=-36),"No Peak Found",I14-H14)</f>
        <v>No Peak Found</v>
      </c>
      <c r="K14" s="136" t="s">
        <v>8</v>
      </c>
      <c r="L14" s="68" t="str">
        <f>IF(OR(COUNTIF(B14:D15, "-")+COUNTBLANK(B14:D15)=6), "Pass", IF(H14 &gt; I14, "Fail", IF(J14 &lt; 3, "Margin 부족", "Pass")))</f>
        <v>Pass</v>
      </c>
      <c r="M14" s="138" t="s">
        <v>11</v>
      </c>
    </row>
    <row r="15" spans="1:13" ht="21.9" customHeight="1" thickBot="1" x14ac:dyDescent="0.45">
      <c r="A15" s="160"/>
      <c r="B15" s="7"/>
      <c r="C15" s="7"/>
      <c r="D15" s="7"/>
      <c r="E15" s="12" t="s">
        <v>29</v>
      </c>
      <c r="F15" s="162"/>
      <c r="G15" s="163"/>
      <c r="H15" s="164"/>
      <c r="I15" s="165"/>
      <c r="J15" s="135"/>
      <c r="K15" s="166"/>
      <c r="L15" s="69"/>
      <c r="M15" s="167"/>
    </row>
    <row r="16" spans="1:13" ht="21.9" customHeight="1" thickBot="1" x14ac:dyDescent="0.45">
      <c r="A16" s="155" t="s">
        <v>32</v>
      </c>
      <c r="B16" s="156"/>
      <c r="C16" s="156"/>
      <c r="D16" s="156"/>
      <c r="E16" s="157"/>
      <c r="F16" s="156" t="str">
        <f>A16</f>
        <v>1 - 3G</v>
      </c>
      <c r="G16" s="156"/>
      <c r="H16" s="156"/>
      <c r="I16" s="156"/>
      <c r="J16" s="59"/>
      <c r="K16" s="156"/>
      <c r="L16" s="156"/>
      <c r="M16" s="156"/>
    </row>
    <row r="17" spans="1:16" ht="21.9" customHeight="1" thickTop="1" x14ac:dyDescent="0.4">
      <c r="A17" s="60" t="s">
        <v>44</v>
      </c>
      <c r="B17" s="62" t="s">
        <v>15</v>
      </c>
      <c r="C17" s="62" t="s">
        <v>16</v>
      </c>
      <c r="D17" s="62" t="s">
        <v>17</v>
      </c>
      <c r="E17" s="98" t="s">
        <v>18</v>
      </c>
      <c r="F17" s="60" t="s">
        <v>44</v>
      </c>
      <c r="G17" s="100" t="s">
        <v>18</v>
      </c>
      <c r="H17" s="100" t="s">
        <v>30</v>
      </c>
      <c r="I17" s="72" t="s">
        <v>42</v>
      </c>
      <c r="J17" s="74" t="s">
        <v>43</v>
      </c>
      <c r="K17" s="146" t="s">
        <v>9</v>
      </c>
      <c r="L17" s="78" t="s">
        <v>19</v>
      </c>
      <c r="M17" s="80" t="s">
        <v>7</v>
      </c>
    </row>
    <row r="18" spans="1:16" ht="21.9" customHeight="1" x14ac:dyDescent="0.4">
      <c r="A18" s="61"/>
      <c r="B18" s="63"/>
      <c r="C18" s="63"/>
      <c r="D18" s="63"/>
      <c r="E18" s="99"/>
      <c r="F18" s="61"/>
      <c r="G18" s="101"/>
      <c r="H18" s="101"/>
      <c r="I18" s="73"/>
      <c r="J18" s="75"/>
      <c r="K18" s="147"/>
      <c r="L18" s="79"/>
      <c r="M18" s="81"/>
    </row>
    <row r="19" spans="1:16" ht="21.9" customHeight="1" x14ac:dyDescent="0.4">
      <c r="A19" s="148" t="s">
        <v>27</v>
      </c>
      <c r="B19" s="3"/>
      <c r="C19" s="3"/>
      <c r="D19" s="3"/>
      <c r="E19" s="11" t="s">
        <v>28</v>
      </c>
      <c r="F19" s="150" t="str">
        <f>$A$19</f>
        <v>Spurious</v>
      </c>
      <c r="G19" s="42" t="str">
        <f>IF(COUNT(B19:D19)=0, "H", IF(COUNT(B20:D20)=0, "V", IF(MAX(B19:D19) &gt;= MAX(B20:D20), "V", "H")))</f>
        <v>H</v>
      </c>
      <c r="H19" s="44">
        <f>MAX(B19:D20)</f>
        <v>0</v>
      </c>
      <c r="I19" s="120">
        <v>-30</v>
      </c>
      <c r="J19" s="134" t="str">
        <f>IF(OR(I19-H19&gt;10,I19-H19=-30),"No Peak Found",I19-H19)</f>
        <v>No Peak Found</v>
      </c>
      <c r="K19" s="136" t="s">
        <v>8</v>
      </c>
      <c r="L19" s="68" t="str">
        <f>IF(OR(COUNTIF(B19:D20, "-")+COUNTBLANK(B19:D20)=6), "Pass", IF(H19 &gt; I19, "Fail", IF(J19 &lt; 3, "Margin 부족", "Pass")))</f>
        <v>Pass</v>
      </c>
      <c r="M19" s="138" t="s">
        <v>11</v>
      </c>
    </row>
    <row r="20" spans="1:16" ht="21.9" customHeight="1" thickBot="1" x14ac:dyDescent="0.45">
      <c r="A20" s="149"/>
      <c r="B20" s="7"/>
      <c r="C20" s="7"/>
      <c r="D20" s="7"/>
      <c r="E20" s="12" t="s">
        <v>29</v>
      </c>
      <c r="F20" s="151"/>
      <c r="G20" s="152"/>
      <c r="H20" s="153"/>
      <c r="I20" s="154"/>
      <c r="J20" s="135"/>
      <c r="K20" s="105"/>
      <c r="L20" s="137"/>
      <c r="M20" s="139"/>
    </row>
    <row r="21" spans="1:16" ht="21.9" customHeight="1" thickBot="1" x14ac:dyDescent="0.45">
      <c r="A21" s="140" t="s">
        <v>33</v>
      </c>
      <c r="B21" s="141"/>
      <c r="C21" s="141"/>
      <c r="D21" s="141"/>
      <c r="E21" s="141"/>
      <c r="F21" s="142" t="str">
        <f>A21</f>
        <v>3 - 12.75G - 2nd, 3rd, 4th, 5th</v>
      </c>
      <c r="G21" s="143"/>
      <c r="H21" s="143"/>
      <c r="I21" s="143"/>
      <c r="J21" s="59"/>
      <c r="K21" s="143"/>
      <c r="L21" s="144"/>
      <c r="M21" s="145"/>
    </row>
    <row r="22" spans="1:16" ht="21.9" customHeight="1" thickTop="1" x14ac:dyDescent="0.4">
      <c r="A22" s="128" t="s">
        <v>44</v>
      </c>
      <c r="B22" s="130" t="s">
        <v>15</v>
      </c>
      <c r="C22" s="130" t="s">
        <v>16</v>
      </c>
      <c r="D22" s="130" t="s">
        <v>17</v>
      </c>
      <c r="E22" s="132" t="s">
        <v>18</v>
      </c>
      <c r="F22" s="128" t="s">
        <v>44</v>
      </c>
      <c r="G22" s="122" t="s">
        <v>18</v>
      </c>
      <c r="H22" s="122" t="s">
        <v>30</v>
      </c>
      <c r="I22" s="123" t="s">
        <v>42</v>
      </c>
      <c r="J22" s="74" t="s">
        <v>43</v>
      </c>
      <c r="K22" s="124" t="s">
        <v>9</v>
      </c>
      <c r="L22" s="126" t="s">
        <v>19</v>
      </c>
      <c r="M22" s="118" t="s">
        <v>7</v>
      </c>
    </row>
    <row r="23" spans="1:16" ht="21.75" customHeight="1" x14ac:dyDescent="0.4">
      <c r="A23" s="129"/>
      <c r="B23" s="131"/>
      <c r="C23" s="131"/>
      <c r="D23" s="131"/>
      <c r="E23" s="133"/>
      <c r="F23" s="129"/>
      <c r="G23" s="101"/>
      <c r="H23" s="101"/>
      <c r="I23" s="73"/>
      <c r="J23" s="75"/>
      <c r="K23" s="125"/>
      <c r="L23" s="127"/>
      <c r="M23" s="119"/>
    </row>
    <row r="24" spans="1:16" ht="21.9" customHeight="1" x14ac:dyDescent="0.4">
      <c r="A24" s="102">
        <f>J7*2</f>
        <v>0</v>
      </c>
      <c r="B24" s="4"/>
      <c r="C24" s="4"/>
      <c r="D24" s="4"/>
      <c r="E24" s="13" t="s">
        <v>1</v>
      </c>
      <c r="F24" s="109">
        <f>$A$24</f>
        <v>0</v>
      </c>
      <c r="G24" s="42" t="str">
        <f>IF(COUNT(B24:D24)=0, "H", IF(COUNT(B25:D25)=0, "V", IF(MAX(B24:D24) &gt;= MAX(B25:D25), "V", "H")))</f>
        <v>H</v>
      </c>
      <c r="H24" s="44">
        <f>MAX(B24:D25)</f>
        <v>0</v>
      </c>
      <c r="I24" s="120">
        <v>-30</v>
      </c>
      <c r="J24" s="111" t="str">
        <f>IF(OR(I24-H24&gt;10,I24-H24=-30),"No Peak Found",I24-H24)</f>
        <v>No Peak Found</v>
      </c>
      <c r="K24" s="121" t="s">
        <v>8</v>
      </c>
      <c r="L24" s="105" t="str">
        <f>IF(OR(COUNTIF(B24:D25, "-")+COUNTBLANK(B24:D25)=6), "Pass", IF(H24 &gt; I24, "Fail", IF(J24 &lt; 3, "Margin 부족", "Pass")))</f>
        <v>Pass</v>
      </c>
      <c r="M24" s="38" t="s">
        <v>10</v>
      </c>
    </row>
    <row r="25" spans="1:16" ht="21.9" customHeight="1" x14ac:dyDescent="0.4">
      <c r="A25" s="108"/>
      <c r="B25" s="4"/>
      <c r="C25" s="4"/>
      <c r="D25" s="4"/>
      <c r="E25" s="13" t="s">
        <v>0</v>
      </c>
      <c r="F25" s="109"/>
      <c r="G25" s="42"/>
      <c r="H25" s="44"/>
      <c r="I25" s="120"/>
      <c r="J25" s="112"/>
      <c r="K25" s="121"/>
      <c r="L25" s="106"/>
      <c r="M25" s="107"/>
    </row>
    <row r="26" spans="1:16" ht="21.9" customHeight="1" x14ac:dyDescent="0.4">
      <c r="A26" s="102">
        <f>J7*3</f>
        <v>0</v>
      </c>
      <c r="B26" s="4"/>
      <c r="C26" s="4"/>
      <c r="D26" s="4"/>
      <c r="E26" s="13" t="s">
        <v>1</v>
      </c>
      <c r="F26" s="40">
        <f>$A$26</f>
        <v>0</v>
      </c>
      <c r="G26" s="42" t="str">
        <f>IF(COUNT(B26:D26)=0, "H", IF(COUNT(B27:D27)=0, "V", IF(MAX(B26:D26) &gt;= MAX(B27:D27), "V", "H")))</f>
        <v>H</v>
      </c>
      <c r="H26" s="44">
        <f>MAX(B26:D27)</f>
        <v>0</v>
      </c>
      <c r="I26" s="110">
        <v>-30</v>
      </c>
      <c r="J26" s="111" t="str">
        <f t="shared" ref="J26" si="0">IF(OR(I26-H26&gt;10,I26-H26=-30),"No Peak Found",I26-H26)</f>
        <v>No Peak Found</v>
      </c>
      <c r="K26" s="104" t="s">
        <v>8</v>
      </c>
      <c r="L26" s="105" t="str">
        <f>IF(OR(COUNTIF(B26:D27, "-")+COUNTBLANK(B26:D27)=6), "Pass", IF(H26 &gt; I26, "Fail", IF(J26 &lt; 3, "Margin 부족", "Pass")))</f>
        <v>Pass</v>
      </c>
      <c r="M26" s="38" t="s">
        <v>10</v>
      </c>
    </row>
    <row r="27" spans="1:16" ht="21.9" customHeight="1" x14ac:dyDescent="0.4">
      <c r="A27" s="108"/>
      <c r="B27" s="4"/>
      <c r="C27" s="4"/>
      <c r="D27" s="4"/>
      <c r="E27" s="13" t="s">
        <v>0</v>
      </c>
      <c r="F27" s="40"/>
      <c r="G27" s="42"/>
      <c r="H27" s="44"/>
      <c r="I27" s="110"/>
      <c r="J27" s="112"/>
      <c r="K27" s="104"/>
      <c r="L27" s="106"/>
      <c r="M27" s="107"/>
    </row>
    <row r="28" spans="1:16" ht="21.9" customHeight="1" x14ac:dyDescent="0.4">
      <c r="A28" s="102">
        <f>J7*4</f>
        <v>0</v>
      </c>
      <c r="B28" s="4"/>
      <c r="C28" s="4"/>
      <c r="D28" s="4"/>
      <c r="E28" s="13" t="s">
        <v>1</v>
      </c>
      <c r="F28" s="109">
        <f>$A$28</f>
        <v>0</v>
      </c>
      <c r="G28" s="42" t="str">
        <f>IF(COUNT(B28:D28)=0, "H", IF(COUNT(B29:D29)=0, "V", IF(MAX(B28:D28) &gt;= MAX(B29:D29), "V", "H")))</f>
        <v>H</v>
      </c>
      <c r="H28" s="44">
        <f>MAX(B28:D29)</f>
        <v>0</v>
      </c>
      <c r="I28" s="110">
        <v>-30</v>
      </c>
      <c r="J28" s="111" t="str">
        <f t="shared" ref="J28" si="1">IF(OR(I28-H28&gt;10,I28-H28=-30),"No Peak Found",I28-H28)</f>
        <v>No Peak Found</v>
      </c>
      <c r="K28" s="113" t="s">
        <v>8</v>
      </c>
      <c r="L28" s="105" t="str">
        <f>IF(OR(COUNTIF(B28:D29, "-")+COUNTBLANK(B28:D29)=6), "Pass", IF(H28 &gt; I28, "Fail", IF(J28 &lt; 3, "Margin 부족", "Pass")))</f>
        <v>Pass</v>
      </c>
      <c r="M28" s="38" t="s">
        <v>10</v>
      </c>
    </row>
    <row r="29" spans="1:16" ht="21.9" customHeight="1" x14ac:dyDescent="0.4">
      <c r="A29" s="108"/>
      <c r="B29" s="4"/>
      <c r="C29" s="4"/>
      <c r="D29" s="4"/>
      <c r="E29" s="13" t="s">
        <v>0</v>
      </c>
      <c r="F29" s="109"/>
      <c r="G29" s="42"/>
      <c r="H29" s="44"/>
      <c r="I29" s="110"/>
      <c r="J29" s="112"/>
      <c r="K29" s="113"/>
      <c r="L29" s="106"/>
      <c r="M29" s="107"/>
      <c r="N29" s="8" t="s">
        <v>7</v>
      </c>
    </row>
    <row r="30" spans="1:16" ht="21.9" customHeight="1" x14ac:dyDescent="0.4">
      <c r="A30" s="102">
        <f>J7*5</f>
        <v>0</v>
      </c>
      <c r="B30" s="4"/>
      <c r="C30" s="4"/>
      <c r="D30" s="4"/>
      <c r="E30" s="13" t="s">
        <v>1</v>
      </c>
      <c r="F30" s="40">
        <f>$A$30</f>
        <v>0</v>
      </c>
      <c r="G30" s="42" t="str">
        <f>IF(COUNT(B30:D30)=0, "H", IF(COUNT(B31:D31)=0, "V", IF(MAX(B30:D30) &gt;= MAX(B31:D31), "V", "H")))</f>
        <v>H</v>
      </c>
      <c r="H30" s="44">
        <f>MAX(B30:D31)</f>
        <v>0</v>
      </c>
      <c r="I30" s="110">
        <v>-30</v>
      </c>
      <c r="J30" s="111" t="str">
        <f t="shared" ref="J30" si="2">IF(OR(I30-H30&gt;10,I30-H30=-30),"No Peak Found",I30-H30)</f>
        <v>No Peak Found</v>
      </c>
      <c r="K30" s="113" t="s">
        <v>8</v>
      </c>
      <c r="L30" s="105" t="str">
        <f>IF(OR(COUNTIF(B30:D31, "-")+COUNTBLANK(B30:D31)=6), "Pass", IF(H30 &gt; I30, "Fail", IF(J30 &lt; 3, "Margin 부족", "Pass")))</f>
        <v>Pass</v>
      </c>
      <c r="M30" s="38" t="s">
        <v>10</v>
      </c>
      <c r="N30" s="82" t="str">
        <f>"1. WCDMA Band : " &amp; VALUE(RIGHT(A7, LEN(A7)-1))</f>
        <v>1. WCDMA Band : 1</v>
      </c>
      <c r="O30" s="83"/>
      <c r="P30" s="83"/>
    </row>
    <row r="31" spans="1:16" ht="21.9" customHeight="1" thickBot="1" x14ac:dyDescent="0.45">
      <c r="A31" s="103"/>
      <c r="B31" s="4"/>
      <c r="C31" s="4"/>
      <c r="D31" s="4"/>
      <c r="E31" s="14" t="s">
        <v>29</v>
      </c>
      <c r="F31" s="41"/>
      <c r="G31" s="43"/>
      <c r="H31" s="45"/>
      <c r="I31" s="114"/>
      <c r="J31" s="115"/>
      <c r="K31" s="116"/>
      <c r="L31" s="117"/>
      <c r="M31" s="39"/>
      <c r="N31" s="84" t="str">
        <f>"2. The test was performed the " &amp; H7 &amp; " antenna."</f>
        <v>2. The test was performed the  antenna.</v>
      </c>
      <c r="O31" s="85"/>
      <c r="P31" s="85"/>
    </row>
    <row r="32" spans="1:16" ht="24.9" customHeight="1" x14ac:dyDescent="0.4">
      <c r="A32" s="86" t="s">
        <v>13</v>
      </c>
      <c r="B32" s="87"/>
      <c r="C32" s="87"/>
      <c r="D32" s="87"/>
      <c r="E32" s="88"/>
      <c r="F32" s="90" t="s">
        <v>41</v>
      </c>
      <c r="G32" s="90"/>
      <c r="H32" s="90"/>
      <c r="I32" s="90"/>
      <c r="J32" s="90"/>
      <c r="K32" s="90"/>
      <c r="L32" s="90"/>
      <c r="M32" s="91"/>
    </row>
    <row r="33" spans="1:13" ht="24.9" customHeight="1" x14ac:dyDescent="0.4">
      <c r="A33" s="89"/>
      <c r="B33" s="87"/>
      <c r="C33" s="87"/>
      <c r="D33" s="87"/>
      <c r="E33" s="88"/>
      <c r="F33" s="92"/>
      <c r="G33" s="92"/>
      <c r="H33" s="92"/>
      <c r="I33" s="92"/>
      <c r="J33" s="92"/>
      <c r="K33" s="92"/>
      <c r="L33" s="92"/>
      <c r="M33" s="93"/>
    </row>
    <row r="34" spans="1:13" ht="21.9" customHeight="1" thickBot="1" x14ac:dyDescent="0.45">
      <c r="A34" s="94" t="s">
        <v>5</v>
      </c>
      <c r="B34" s="95"/>
      <c r="C34" s="95"/>
      <c r="D34" s="95"/>
      <c r="E34" s="96"/>
      <c r="F34" s="97" t="s">
        <v>5</v>
      </c>
      <c r="G34" s="97"/>
      <c r="H34" s="97"/>
      <c r="I34" s="97"/>
      <c r="J34" s="97"/>
      <c r="K34" s="97"/>
      <c r="L34" s="97"/>
      <c r="M34" s="97"/>
    </row>
    <row r="35" spans="1:13" ht="21.9" customHeight="1" thickTop="1" x14ac:dyDescent="0.4">
      <c r="A35" s="60" t="s">
        <v>44</v>
      </c>
      <c r="B35" s="62" t="s">
        <v>15</v>
      </c>
      <c r="C35" s="62" t="s">
        <v>16</v>
      </c>
      <c r="D35" s="62" t="s">
        <v>17</v>
      </c>
      <c r="E35" s="98" t="s">
        <v>18</v>
      </c>
      <c r="F35" s="60" t="s">
        <v>44</v>
      </c>
      <c r="G35" s="100" t="s">
        <v>18</v>
      </c>
      <c r="H35" s="100" t="s">
        <v>30</v>
      </c>
      <c r="I35" s="72" t="s">
        <v>42</v>
      </c>
      <c r="J35" s="74" t="s">
        <v>43</v>
      </c>
      <c r="K35" s="76" t="s">
        <v>9</v>
      </c>
      <c r="L35" s="78" t="s">
        <v>19</v>
      </c>
      <c r="M35" s="80" t="s">
        <v>7</v>
      </c>
    </row>
    <row r="36" spans="1:13" ht="21.9" customHeight="1" x14ac:dyDescent="0.4">
      <c r="A36" s="61"/>
      <c r="B36" s="63"/>
      <c r="C36" s="63"/>
      <c r="D36" s="63"/>
      <c r="E36" s="99"/>
      <c r="F36" s="61"/>
      <c r="G36" s="101"/>
      <c r="H36" s="101"/>
      <c r="I36" s="73"/>
      <c r="J36" s="75"/>
      <c r="K36" s="77"/>
      <c r="L36" s="79"/>
      <c r="M36" s="81"/>
    </row>
    <row r="37" spans="1:13" ht="21.9" customHeight="1" x14ac:dyDescent="0.4">
      <c r="A37" s="46" t="s">
        <v>27</v>
      </c>
      <c r="B37" s="10"/>
      <c r="C37" s="1"/>
      <c r="D37" s="1"/>
      <c r="E37" s="11" t="s">
        <v>28</v>
      </c>
      <c r="F37" s="48" t="str">
        <f>A37</f>
        <v>Spurious</v>
      </c>
      <c r="G37" s="50" t="str">
        <f>IF(COUNT(B37:D37)=0, "H", IF(COUNT(B38:D38)=0, "V", IF(MAX(B37:D37) &gt;= MAX(B38:D38), "V", "H")))</f>
        <v>H</v>
      </c>
      <c r="H37" s="52">
        <f>MAX(B37:D38)</f>
        <v>0</v>
      </c>
      <c r="I37" s="54">
        <v>-57</v>
      </c>
      <c r="J37" s="64" t="str">
        <f>IF(OR(I37-H37&gt;10,I37-H37=-57),"No Peak Found",I37-H37)</f>
        <v>No Peak Found</v>
      </c>
      <c r="K37" s="66" t="s">
        <v>8</v>
      </c>
      <c r="L37" s="68" t="str">
        <f>IF(OR(COUNTIF(B37:D38, "-")+COUNTBLANK(B37:D38)=6), "Pass", IF(H37 &gt; I37, "Fail", IF(J37 &lt; 3, "Margin 부족", "Pass")))</f>
        <v>Pass</v>
      </c>
      <c r="M37" s="70" t="s">
        <v>11</v>
      </c>
    </row>
    <row r="38" spans="1:13" ht="21.9" customHeight="1" thickBot="1" x14ac:dyDescent="0.45">
      <c r="A38" s="47"/>
      <c r="B38" s="2"/>
      <c r="C38" s="2"/>
      <c r="D38" s="2"/>
      <c r="E38" s="12" t="s">
        <v>29</v>
      </c>
      <c r="F38" s="49"/>
      <c r="G38" s="51"/>
      <c r="H38" s="53"/>
      <c r="I38" s="55"/>
      <c r="J38" s="65"/>
      <c r="K38" s="67"/>
      <c r="L38" s="69"/>
      <c r="M38" s="71"/>
    </row>
    <row r="39" spans="1:13" ht="21.9" customHeight="1" thickBot="1" x14ac:dyDescent="0.45">
      <c r="A39" s="56" t="s">
        <v>34</v>
      </c>
      <c r="B39" s="57"/>
      <c r="C39" s="57"/>
      <c r="D39" s="57"/>
      <c r="E39" s="58"/>
      <c r="F39" s="59" t="s">
        <v>34</v>
      </c>
      <c r="G39" s="59"/>
      <c r="H39" s="59"/>
      <c r="I39" s="59"/>
      <c r="J39" s="59"/>
      <c r="K39" s="59"/>
      <c r="L39" s="59"/>
      <c r="M39" s="59"/>
    </row>
    <row r="40" spans="1:13" ht="21.9" customHeight="1" thickTop="1" x14ac:dyDescent="0.4">
      <c r="A40" s="60" t="s">
        <v>44</v>
      </c>
      <c r="B40" s="62" t="s">
        <v>15</v>
      </c>
      <c r="C40" s="62" t="s">
        <v>16</v>
      </c>
      <c r="D40" s="62" t="s">
        <v>17</v>
      </c>
      <c r="E40" s="98" t="s">
        <v>18</v>
      </c>
      <c r="F40" s="60" t="s">
        <v>44</v>
      </c>
      <c r="G40" s="100" t="s">
        <v>18</v>
      </c>
      <c r="H40" s="100" t="s">
        <v>30</v>
      </c>
      <c r="I40" s="72" t="s">
        <v>42</v>
      </c>
      <c r="J40" s="74" t="s">
        <v>43</v>
      </c>
      <c r="K40" s="76" t="s">
        <v>9</v>
      </c>
      <c r="L40" s="78" t="s">
        <v>19</v>
      </c>
      <c r="M40" s="80" t="s">
        <v>7</v>
      </c>
    </row>
    <row r="41" spans="1:13" ht="21.9" customHeight="1" x14ac:dyDescent="0.4">
      <c r="A41" s="61"/>
      <c r="B41" s="63"/>
      <c r="C41" s="63"/>
      <c r="D41" s="63"/>
      <c r="E41" s="99"/>
      <c r="F41" s="61"/>
      <c r="G41" s="101"/>
      <c r="H41" s="101"/>
      <c r="I41" s="73"/>
      <c r="J41" s="75"/>
      <c r="K41" s="77"/>
      <c r="L41" s="79"/>
      <c r="M41" s="81"/>
    </row>
    <row r="42" spans="1:13" ht="21.9" customHeight="1" x14ac:dyDescent="0.4">
      <c r="A42" s="46" t="s">
        <v>27</v>
      </c>
      <c r="B42" s="10"/>
      <c r="C42" s="1"/>
      <c r="D42" s="1"/>
      <c r="E42" s="11" t="s">
        <v>28</v>
      </c>
      <c r="F42" s="48" t="str">
        <f>A42</f>
        <v>Spurious</v>
      </c>
      <c r="G42" s="50" t="str">
        <f>IF(COUNT(B42:D42)=0, "H", IF(COUNT(B43:D43)=0, "V", IF(MAX(B42:D42) &gt;= MAX(B43:D43), "V", "H")))</f>
        <v>H</v>
      </c>
      <c r="H42" s="52">
        <f>MAX(B42:D43)</f>
        <v>0</v>
      </c>
      <c r="I42" s="54">
        <v>-47</v>
      </c>
      <c r="J42" s="64" t="str">
        <f>IF(OR(I42-H42&gt;10,I42-H42=-47),"No Peak Found",I42-H42)</f>
        <v>No Peak Found</v>
      </c>
      <c r="K42" s="66" t="s">
        <v>8</v>
      </c>
      <c r="L42" s="68" t="str">
        <f>IF(OR(COUNTIF(B42:D43, "-")+COUNTBLANK(B42:D43)=6), "Pass", IF(H42 &gt; I42, "Fail", IF(J42 &lt; 3, "Margin 부족", "Pass")))</f>
        <v>Pass</v>
      </c>
      <c r="M42" s="70" t="s">
        <v>11</v>
      </c>
    </row>
    <row r="43" spans="1:13" ht="21.9" customHeight="1" thickBot="1" x14ac:dyDescent="0.45">
      <c r="A43" s="47"/>
      <c r="B43" s="2"/>
      <c r="C43" s="2"/>
      <c r="D43" s="2"/>
      <c r="E43" s="12" t="s">
        <v>29</v>
      </c>
      <c r="F43" s="49"/>
      <c r="G43" s="51"/>
      <c r="H43" s="53"/>
      <c r="I43" s="55"/>
      <c r="J43" s="65"/>
      <c r="K43" s="67"/>
      <c r="L43" s="69"/>
      <c r="M43" s="71"/>
    </row>
    <row r="44" spans="1:13" ht="21.9" customHeight="1" x14ac:dyDescent="0.4"/>
  </sheetData>
  <mergeCells count="167">
    <mergeCell ref="A9:E10"/>
    <mergeCell ref="F9:M10"/>
    <mergeCell ref="A11:E11"/>
    <mergeCell ref="F11:M11"/>
    <mergeCell ref="F5:G6"/>
    <mergeCell ref="B1:D1"/>
    <mergeCell ref="E1:F2"/>
    <mergeCell ref="G1:M1"/>
    <mergeCell ref="B2:D2"/>
    <mergeCell ref="G2:M2"/>
    <mergeCell ref="A3:M4"/>
    <mergeCell ref="F7:G8"/>
    <mergeCell ref="A5:E6"/>
    <mergeCell ref="A7:E8"/>
    <mergeCell ref="H5:I6"/>
    <mergeCell ref="H7:I8"/>
    <mergeCell ref="J5:K6"/>
    <mergeCell ref="J7:K8"/>
    <mergeCell ref="M12:M13"/>
    <mergeCell ref="A14:A15"/>
    <mergeCell ref="F14:F15"/>
    <mergeCell ref="G14:G15"/>
    <mergeCell ref="H14:H15"/>
    <mergeCell ref="I14:I15"/>
    <mergeCell ref="J14:J15"/>
    <mergeCell ref="K14:K15"/>
    <mergeCell ref="L14:L15"/>
    <mergeCell ref="M14:M15"/>
    <mergeCell ref="G12:G13"/>
    <mergeCell ref="H12:H13"/>
    <mergeCell ref="I12:I13"/>
    <mergeCell ref="J12:J13"/>
    <mergeCell ref="K12:K13"/>
    <mergeCell ref="L12:L13"/>
    <mergeCell ref="A12:A13"/>
    <mergeCell ref="B12:B13"/>
    <mergeCell ref="C12:C13"/>
    <mergeCell ref="D12:D13"/>
    <mergeCell ref="E12:E13"/>
    <mergeCell ref="F12:F13"/>
    <mergeCell ref="A16:E16"/>
    <mergeCell ref="F16:M16"/>
    <mergeCell ref="A17:A18"/>
    <mergeCell ref="B17:B18"/>
    <mergeCell ref="C17:C18"/>
    <mergeCell ref="D17:D18"/>
    <mergeCell ref="E17:E18"/>
    <mergeCell ref="F17:F18"/>
    <mergeCell ref="G17:G18"/>
    <mergeCell ref="H17:H18"/>
    <mergeCell ref="E22:E23"/>
    <mergeCell ref="F22:F23"/>
    <mergeCell ref="J19:J20"/>
    <mergeCell ref="K19:K20"/>
    <mergeCell ref="L19:L20"/>
    <mergeCell ref="M19:M20"/>
    <mergeCell ref="A21:E21"/>
    <mergeCell ref="F21:M21"/>
    <mergeCell ref="I17:I18"/>
    <mergeCell ref="J17:J18"/>
    <mergeCell ref="K17:K18"/>
    <mergeCell ref="L17:L18"/>
    <mergeCell ref="M17:M18"/>
    <mergeCell ref="A19:A20"/>
    <mergeCell ref="F19:F20"/>
    <mergeCell ref="G19:G20"/>
    <mergeCell ref="H19:H20"/>
    <mergeCell ref="I19:I20"/>
    <mergeCell ref="I30:I31"/>
    <mergeCell ref="J30:J31"/>
    <mergeCell ref="K30:K31"/>
    <mergeCell ref="L30:L31"/>
    <mergeCell ref="M22:M23"/>
    <mergeCell ref="A24:A25"/>
    <mergeCell ref="F24:F25"/>
    <mergeCell ref="G24:G25"/>
    <mergeCell ref="H24:H25"/>
    <mergeCell ref="I24:I25"/>
    <mergeCell ref="J24:J25"/>
    <mergeCell ref="K24:K25"/>
    <mergeCell ref="L24:L25"/>
    <mergeCell ref="M24:M25"/>
    <mergeCell ref="G22:G23"/>
    <mergeCell ref="H22:H23"/>
    <mergeCell ref="I22:I23"/>
    <mergeCell ref="J22:J23"/>
    <mergeCell ref="K22:K23"/>
    <mergeCell ref="L22:L23"/>
    <mergeCell ref="A22:A23"/>
    <mergeCell ref="B22:B23"/>
    <mergeCell ref="C22:C23"/>
    <mergeCell ref="D22:D23"/>
    <mergeCell ref="K26:K27"/>
    <mergeCell ref="L26:L27"/>
    <mergeCell ref="M26:M27"/>
    <mergeCell ref="A28:A29"/>
    <mergeCell ref="F28:F29"/>
    <mergeCell ref="G28:G29"/>
    <mergeCell ref="H28:H29"/>
    <mergeCell ref="I28:I29"/>
    <mergeCell ref="J28:J29"/>
    <mergeCell ref="K28:K29"/>
    <mergeCell ref="A26:A27"/>
    <mergeCell ref="F26:F27"/>
    <mergeCell ref="G26:G27"/>
    <mergeCell ref="H26:H27"/>
    <mergeCell ref="I26:I27"/>
    <mergeCell ref="J26:J27"/>
    <mergeCell ref="L28:L29"/>
    <mergeCell ref="M28:M29"/>
    <mergeCell ref="E35:E36"/>
    <mergeCell ref="F35:F36"/>
    <mergeCell ref="H35:H36"/>
    <mergeCell ref="I35:I36"/>
    <mergeCell ref="J35:J36"/>
    <mergeCell ref="K35:K36"/>
    <mergeCell ref="L35:L36"/>
    <mergeCell ref="A35:A36"/>
    <mergeCell ref="B35:B36"/>
    <mergeCell ref="N30:P30"/>
    <mergeCell ref="N31:P31"/>
    <mergeCell ref="A32:E33"/>
    <mergeCell ref="F32:M33"/>
    <mergeCell ref="A34:E34"/>
    <mergeCell ref="F34:M34"/>
    <mergeCell ref="C40:C41"/>
    <mergeCell ref="D40:D41"/>
    <mergeCell ref="E40:E41"/>
    <mergeCell ref="F40:F41"/>
    <mergeCell ref="G40:G41"/>
    <mergeCell ref="H40:H41"/>
    <mergeCell ref="M35:M36"/>
    <mergeCell ref="A37:A38"/>
    <mergeCell ref="F37:F38"/>
    <mergeCell ref="G37:G38"/>
    <mergeCell ref="H37:H38"/>
    <mergeCell ref="I37:I38"/>
    <mergeCell ref="J37:J38"/>
    <mergeCell ref="K37:K38"/>
    <mergeCell ref="L37:L38"/>
    <mergeCell ref="M37:M38"/>
    <mergeCell ref="G35:G36"/>
    <mergeCell ref="A30:A31"/>
    <mergeCell ref="M30:M31"/>
    <mergeCell ref="F30:F31"/>
    <mergeCell ref="G30:G31"/>
    <mergeCell ref="H30:H31"/>
    <mergeCell ref="A42:A43"/>
    <mergeCell ref="F42:F43"/>
    <mergeCell ref="G42:G43"/>
    <mergeCell ref="H42:H43"/>
    <mergeCell ref="I42:I43"/>
    <mergeCell ref="A39:E39"/>
    <mergeCell ref="F39:M39"/>
    <mergeCell ref="A40:A41"/>
    <mergeCell ref="B40:B41"/>
    <mergeCell ref="J42:J43"/>
    <mergeCell ref="K42:K43"/>
    <mergeCell ref="L42:L43"/>
    <mergeCell ref="M42:M43"/>
    <mergeCell ref="I40:I41"/>
    <mergeCell ref="J40:J41"/>
    <mergeCell ref="K40:K41"/>
    <mergeCell ref="L40:L41"/>
    <mergeCell ref="M40:M41"/>
    <mergeCell ref="C35:C36"/>
    <mergeCell ref="D35:D36"/>
  </mergeCells>
  <phoneticPr fontId="1" type="noConversion"/>
  <conditionalFormatting sqref="J14 J19">
    <cfRule type="cellIs" dxfId="301" priority="33" operator="lessThan">
      <formula>10</formula>
    </cfRule>
  </conditionalFormatting>
  <conditionalFormatting sqref="J14">
    <cfRule type="cellIs" dxfId="300" priority="32" operator="equal">
      <formula>-36</formula>
    </cfRule>
  </conditionalFormatting>
  <conditionalFormatting sqref="L14 L19">
    <cfRule type="cellIs" dxfId="299" priority="31" operator="equal">
      <formula>"Fail"</formula>
    </cfRule>
  </conditionalFormatting>
  <conditionalFormatting sqref="L24">
    <cfRule type="cellIs" dxfId="298" priority="28" operator="equal">
      <formula>"Fail"</formula>
    </cfRule>
  </conditionalFormatting>
  <conditionalFormatting sqref="L26">
    <cfRule type="cellIs" dxfId="297" priority="27" operator="equal">
      <formula>"Fail"</formula>
    </cfRule>
  </conditionalFormatting>
  <conditionalFormatting sqref="L28">
    <cfRule type="cellIs" dxfId="296" priority="26" operator="equal">
      <formula>"Fail"</formula>
    </cfRule>
  </conditionalFormatting>
  <conditionalFormatting sqref="L30">
    <cfRule type="cellIs" dxfId="295" priority="25" operator="equal">
      <formula>"Fail"</formula>
    </cfRule>
  </conditionalFormatting>
  <conditionalFormatting sqref="V33">
    <cfRule type="cellIs" dxfId="294" priority="24" operator="equal">
      <formula>"Fail"</formula>
    </cfRule>
  </conditionalFormatting>
  <conditionalFormatting sqref="L14:L15 L19:L20 L24:L31">
    <cfRule type="cellIs" dxfId="293" priority="23" operator="equal">
      <formula>"Pass"</formula>
    </cfRule>
  </conditionalFormatting>
  <conditionalFormatting sqref="L37">
    <cfRule type="cellIs" dxfId="292" priority="22" operator="equal">
      <formula>"Fail"</formula>
    </cfRule>
  </conditionalFormatting>
  <conditionalFormatting sqref="L37:L38">
    <cfRule type="cellIs" dxfId="291" priority="21" operator="equal">
      <formula>"Pass"</formula>
    </cfRule>
  </conditionalFormatting>
  <conditionalFormatting sqref="L42">
    <cfRule type="cellIs" dxfId="290" priority="20" operator="equal">
      <formula>"Fail"</formula>
    </cfRule>
  </conditionalFormatting>
  <conditionalFormatting sqref="L42:L43">
    <cfRule type="cellIs" dxfId="289" priority="19" operator="equal">
      <formula>"Pass"</formula>
    </cfRule>
  </conditionalFormatting>
  <conditionalFormatting sqref="B14:D15">
    <cfRule type="top10" dxfId="288" priority="18" rank="1"/>
  </conditionalFormatting>
  <conditionalFormatting sqref="B19:D20">
    <cfRule type="top10" dxfId="287" priority="17" rank="1"/>
  </conditionalFormatting>
  <conditionalFormatting sqref="J24 J26 J28 J30">
    <cfRule type="expression" dxfId="286" priority="8">
      <formula>J24=-30</formula>
    </cfRule>
    <cfRule type="expression" dxfId="285" priority="9">
      <formula>AND(J24&lt;&gt;-30,J24&lt;=3)</formula>
    </cfRule>
    <cfRule type="expression" dxfId="284" priority="10">
      <formula>AND(J24&gt;3,J24&lt;10)</formula>
    </cfRule>
  </conditionalFormatting>
  <conditionalFormatting sqref="B24:D25">
    <cfRule type="top10" dxfId="283" priority="7" rank="1"/>
  </conditionalFormatting>
  <conditionalFormatting sqref="B26:D27">
    <cfRule type="top10" dxfId="282" priority="3" rank="1"/>
  </conditionalFormatting>
  <conditionalFormatting sqref="B28:D29">
    <cfRule type="top10" dxfId="281" priority="2" rank="1"/>
  </conditionalFormatting>
  <conditionalFormatting sqref="B30:D31">
    <cfRule type="top10" dxfId="280" priority="1" rank="1"/>
  </conditionalFormatting>
  <dataValidations disablePrompts="1" count="1">
    <dataValidation type="list" allowBlank="1" showInputMessage="1" showErrorMessage="1" sqref="M14 M19 M30 M24 M26 M28 M42:M43 M37:M38" xr:uid="{89B3F3D0-FA2B-4D9A-9B69-E4B646DDD673}">
      <formula1>"Fundamental, Harmonic, Noise Floor, -"</formula1>
    </dataValidation>
  </dataValidations>
  <pageMargins left="0.7" right="0.7" top="0.75" bottom="0.75" header="0.3" footer="0.3"/>
  <pageSetup paperSize="9" scale="27" orientation="portrait" r:id="rId1"/>
  <colBreaks count="1" manualBreakCount="1">
    <brk id="13" max="42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9C3157-6006-480C-90F1-01E79787E113}">
  <dimension ref="A1:P39"/>
  <sheetViews>
    <sheetView view="pageBreakPreview" zoomScale="85" zoomScaleNormal="100" zoomScaleSheetLayoutView="85" workbookViewId="0"/>
  </sheetViews>
  <sheetFormatPr defaultRowHeight="17.399999999999999" outlineLevelCol="1" x14ac:dyDescent="0.4"/>
  <cols>
    <col min="1" max="11" width="12.59765625" style="6" customWidth="1"/>
    <col min="12" max="13" width="12.59765625" hidden="1" customWidth="1" outlineLevel="1"/>
    <col min="14" max="14" width="12.59765625" customWidth="1" collapsed="1"/>
    <col min="15" max="22" width="12.59765625" customWidth="1"/>
  </cols>
  <sheetData>
    <row r="1" spans="1:13" ht="20.100000000000001" customHeight="1" x14ac:dyDescent="0.4">
      <c r="A1" s="5" t="s">
        <v>14</v>
      </c>
      <c r="B1" s="188"/>
      <c r="C1" s="189"/>
      <c r="D1" s="190"/>
      <c r="E1" s="191" t="s">
        <v>35</v>
      </c>
      <c r="F1" s="192"/>
      <c r="G1" s="188" t="s">
        <v>36</v>
      </c>
      <c r="H1" s="189"/>
      <c r="I1" s="189"/>
      <c r="J1" s="189"/>
      <c r="K1" s="189"/>
      <c r="L1" s="189"/>
      <c r="M1" s="190"/>
    </row>
    <row r="2" spans="1:13" ht="20.100000000000001" customHeight="1" thickBot="1" x14ac:dyDescent="0.45">
      <c r="A2" s="18" t="s">
        <v>47</v>
      </c>
      <c r="B2" s="195"/>
      <c r="C2" s="196"/>
      <c r="D2" s="197"/>
      <c r="E2" s="193"/>
      <c r="F2" s="194"/>
      <c r="G2" s="195" t="s">
        <v>45</v>
      </c>
      <c r="H2" s="196"/>
      <c r="I2" s="196"/>
      <c r="J2" s="196"/>
      <c r="K2" s="196"/>
      <c r="L2" s="196"/>
      <c r="M2" s="197"/>
    </row>
    <row r="3" spans="1:13" ht="24.9" customHeight="1" x14ac:dyDescent="0.4">
      <c r="A3" s="198" t="s">
        <v>51</v>
      </c>
      <c r="B3" s="199"/>
      <c r="C3" s="199"/>
      <c r="D3" s="199"/>
      <c r="E3" s="199"/>
      <c r="F3" s="199"/>
      <c r="G3" s="199"/>
      <c r="H3" s="199"/>
      <c r="I3" s="199"/>
      <c r="J3" s="199"/>
      <c r="K3" s="199"/>
      <c r="L3" s="199"/>
      <c r="M3" s="200"/>
    </row>
    <row r="4" spans="1:13" ht="24.9" customHeight="1" thickBot="1" x14ac:dyDescent="0.45">
      <c r="A4" s="201"/>
      <c r="B4" s="202"/>
      <c r="C4" s="202"/>
      <c r="D4" s="202"/>
      <c r="E4" s="202"/>
      <c r="F4" s="202"/>
      <c r="G4" s="202"/>
      <c r="H4" s="202"/>
      <c r="I4" s="202"/>
      <c r="J4" s="202"/>
      <c r="K4" s="202"/>
      <c r="L4" s="202"/>
      <c r="M4" s="203"/>
    </row>
    <row r="5" spans="1:13" ht="24.9" customHeight="1" x14ac:dyDescent="0.4">
      <c r="A5" s="206" t="s">
        <v>20</v>
      </c>
      <c r="B5" s="207"/>
      <c r="C5" s="207"/>
      <c r="D5" s="207"/>
      <c r="E5" s="208"/>
      <c r="F5" s="259" t="s">
        <v>56</v>
      </c>
      <c r="G5" s="208"/>
      <c r="H5" s="186" t="s">
        <v>54</v>
      </c>
      <c r="I5" s="186"/>
      <c r="J5" s="218" t="s">
        <v>39</v>
      </c>
      <c r="K5" s="218"/>
      <c r="L5" s="31"/>
      <c r="M5" s="32"/>
    </row>
    <row r="6" spans="1:13" ht="20.100000000000001" customHeight="1" x14ac:dyDescent="0.4">
      <c r="A6" s="209"/>
      <c r="B6" s="210"/>
      <c r="C6" s="210"/>
      <c r="D6" s="210"/>
      <c r="E6" s="211"/>
      <c r="F6" s="260"/>
      <c r="G6" s="211"/>
      <c r="H6" s="187"/>
      <c r="I6" s="187"/>
      <c r="J6" s="219"/>
      <c r="K6" s="219"/>
      <c r="L6" s="33"/>
      <c r="M6" s="34"/>
    </row>
    <row r="7" spans="1:13" ht="20.100000000000001" customHeight="1" x14ac:dyDescent="0.4">
      <c r="A7" s="212" t="s">
        <v>65</v>
      </c>
      <c r="B7" s="213"/>
      <c r="C7" s="213"/>
      <c r="D7" s="213"/>
      <c r="E7" s="214"/>
      <c r="F7" s="261"/>
      <c r="G7" s="214"/>
      <c r="H7" s="204"/>
      <c r="I7" s="204"/>
      <c r="J7" s="204"/>
      <c r="K7" s="204"/>
      <c r="L7" s="29"/>
      <c r="M7" s="30"/>
    </row>
    <row r="8" spans="1:13" ht="20.100000000000001" customHeight="1" thickBot="1" x14ac:dyDescent="0.45">
      <c r="A8" s="215"/>
      <c r="B8" s="216"/>
      <c r="C8" s="216"/>
      <c r="D8" s="216"/>
      <c r="E8" s="217"/>
      <c r="F8" s="262"/>
      <c r="G8" s="217"/>
      <c r="H8" s="205"/>
      <c r="I8" s="205"/>
      <c r="J8" s="205"/>
      <c r="K8" s="205"/>
      <c r="L8" s="35"/>
      <c r="M8" s="36"/>
    </row>
    <row r="9" spans="1:13" ht="24.9" customHeight="1" x14ac:dyDescent="0.4">
      <c r="A9" s="174" t="s">
        <v>12</v>
      </c>
      <c r="B9" s="175"/>
      <c r="C9" s="175"/>
      <c r="D9" s="175"/>
      <c r="E9" s="178"/>
      <c r="F9" s="174" t="s">
        <v>40</v>
      </c>
      <c r="G9" s="175"/>
      <c r="H9" s="175"/>
      <c r="I9" s="175"/>
      <c r="J9" s="175"/>
      <c r="K9" s="175"/>
      <c r="L9" s="175"/>
      <c r="M9" s="178"/>
    </row>
    <row r="10" spans="1:13" ht="24.9" customHeight="1" thickBot="1" x14ac:dyDescent="0.45">
      <c r="A10" s="176"/>
      <c r="B10" s="177"/>
      <c r="C10" s="177"/>
      <c r="D10" s="177"/>
      <c r="E10" s="254"/>
      <c r="F10" s="179"/>
      <c r="G10" s="180"/>
      <c r="H10" s="180"/>
      <c r="I10" s="180"/>
      <c r="J10" s="180"/>
      <c r="K10" s="180"/>
      <c r="L10" s="180"/>
      <c r="M10" s="181"/>
    </row>
    <row r="11" spans="1:13" ht="21.9" customHeight="1" thickBot="1" x14ac:dyDescent="0.45">
      <c r="A11" s="255" t="s">
        <v>6</v>
      </c>
      <c r="B11" s="256"/>
      <c r="C11" s="256"/>
      <c r="D11" s="256"/>
      <c r="E11" s="257"/>
      <c r="F11" s="256" t="s">
        <v>6</v>
      </c>
      <c r="G11" s="256"/>
      <c r="H11" s="256"/>
      <c r="I11" s="256"/>
      <c r="J11" s="59"/>
      <c r="K11" s="256"/>
      <c r="L11" s="256"/>
      <c r="M11" s="258"/>
    </row>
    <row r="12" spans="1:13" ht="21.9" customHeight="1" thickTop="1" x14ac:dyDescent="0.4">
      <c r="A12" s="252" t="s">
        <v>44</v>
      </c>
      <c r="B12" s="62" t="s">
        <v>4</v>
      </c>
      <c r="C12" s="62" t="s">
        <v>16</v>
      </c>
      <c r="D12" s="62" t="s">
        <v>3</v>
      </c>
      <c r="E12" s="253" t="s">
        <v>2</v>
      </c>
      <c r="F12" s="146" t="s">
        <v>44</v>
      </c>
      <c r="G12" s="100" t="s">
        <v>18</v>
      </c>
      <c r="H12" s="100" t="s">
        <v>30</v>
      </c>
      <c r="I12" s="72" t="s">
        <v>42</v>
      </c>
      <c r="J12" s="74" t="s">
        <v>43</v>
      </c>
      <c r="K12" s="146" t="s">
        <v>9</v>
      </c>
      <c r="L12" s="224" t="s">
        <v>19</v>
      </c>
      <c r="M12" s="226" t="s">
        <v>7</v>
      </c>
    </row>
    <row r="13" spans="1:13" ht="21.9" customHeight="1" x14ac:dyDescent="0.4">
      <c r="A13" s="129"/>
      <c r="B13" s="63"/>
      <c r="C13" s="63"/>
      <c r="D13" s="63"/>
      <c r="E13" s="133"/>
      <c r="F13" s="147"/>
      <c r="G13" s="101"/>
      <c r="H13" s="101"/>
      <c r="I13" s="73"/>
      <c r="J13" s="75"/>
      <c r="K13" s="147"/>
      <c r="L13" s="225"/>
      <c r="M13" s="227"/>
    </row>
    <row r="14" spans="1:13" ht="21.9" customHeight="1" x14ac:dyDescent="0.4">
      <c r="A14" s="246" t="s">
        <v>27</v>
      </c>
      <c r="B14" s="3"/>
      <c r="C14" s="3"/>
      <c r="D14" s="3"/>
      <c r="E14" s="15" t="s">
        <v>28</v>
      </c>
      <c r="F14" s="248" t="str">
        <f>A14</f>
        <v>Spurious</v>
      </c>
      <c r="G14" s="42" t="str">
        <f>IF(COUNT(B14:D14)=0, "H", IF(COUNT(B15:D15)=0, "V", IF(MAX(B14:D14) &gt;= MAX(B15:D15), "V", "H")))</f>
        <v>H</v>
      </c>
      <c r="H14" s="44">
        <f>MAX(B14:D15)</f>
        <v>0</v>
      </c>
      <c r="I14" s="120">
        <v>-36</v>
      </c>
      <c r="J14" s="134" t="str">
        <f>IF(OR(I14-H14&gt;10,I14-H14=-36),"No Peak Found",I14-H14)</f>
        <v>No Peak Found</v>
      </c>
      <c r="K14" s="136" t="s">
        <v>8</v>
      </c>
      <c r="L14" s="220" t="str">
        <f>IF(OR(COUNTIF(B14:D15, "-")+COUNTBLANK(B14:D15)=6), "Pass", IF(H14 &gt; I14, "Fail", IF(J14 &lt; 3, "Margin 부족", "Pass")))</f>
        <v>Pass</v>
      </c>
      <c r="M14" s="250" t="s">
        <v>11</v>
      </c>
    </row>
    <row r="15" spans="1:13" ht="21.9" customHeight="1" thickBot="1" x14ac:dyDescent="0.45">
      <c r="A15" s="247"/>
      <c r="B15" s="16"/>
      <c r="C15" s="16"/>
      <c r="D15" s="16"/>
      <c r="E15" s="17" t="s">
        <v>29</v>
      </c>
      <c r="F15" s="249"/>
      <c r="G15" s="163"/>
      <c r="H15" s="164"/>
      <c r="I15" s="165"/>
      <c r="J15" s="135"/>
      <c r="K15" s="166"/>
      <c r="L15" s="221"/>
      <c r="M15" s="251"/>
    </row>
    <row r="16" spans="1:13" ht="21.9" customHeight="1" thickBot="1" x14ac:dyDescent="0.45">
      <c r="A16" s="240" t="s">
        <v>46</v>
      </c>
      <c r="B16" s="59"/>
      <c r="C16" s="59"/>
      <c r="D16" s="59"/>
      <c r="E16" s="59"/>
      <c r="F16" s="142" t="s">
        <v>46</v>
      </c>
      <c r="G16" s="143"/>
      <c r="H16" s="143"/>
      <c r="I16" s="143"/>
      <c r="J16" s="59"/>
      <c r="K16" s="143"/>
      <c r="L16" s="144"/>
      <c r="M16" s="145"/>
    </row>
    <row r="17" spans="1:16" ht="21.9" customHeight="1" thickTop="1" x14ac:dyDescent="0.4">
      <c r="A17" s="60" t="s">
        <v>44</v>
      </c>
      <c r="B17" s="62" t="s">
        <v>15</v>
      </c>
      <c r="C17" s="62" t="s">
        <v>16</v>
      </c>
      <c r="D17" s="62" t="s">
        <v>17</v>
      </c>
      <c r="E17" s="98" t="s">
        <v>18</v>
      </c>
      <c r="F17" s="241" t="s">
        <v>44</v>
      </c>
      <c r="G17" s="122" t="s">
        <v>18</v>
      </c>
      <c r="H17" s="122" t="s">
        <v>30</v>
      </c>
      <c r="I17" s="123" t="s">
        <v>42</v>
      </c>
      <c r="J17" s="74" t="s">
        <v>43</v>
      </c>
      <c r="K17" s="124" t="s">
        <v>9</v>
      </c>
      <c r="L17" s="242" t="s">
        <v>19</v>
      </c>
      <c r="M17" s="244" t="s">
        <v>7</v>
      </c>
    </row>
    <row r="18" spans="1:16" ht="21.75" customHeight="1" x14ac:dyDescent="0.4">
      <c r="A18" s="61"/>
      <c r="B18" s="131"/>
      <c r="C18" s="131"/>
      <c r="D18" s="131"/>
      <c r="E18" s="99"/>
      <c r="F18" s="147"/>
      <c r="G18" s="101"/>
      <c r="H18" s="101"/>
      <c r="I18" s="73"/>
      <c r="J18" s="75"/>
      <c r="K18" s="125"/>
      <c r="L18" s="243"/>
      <c r="M18" s="245"/>
    </row>
    <row r="19" spans="1:16" ht="21.9" customHeight="1" x14ac:dyDescent="0.4">
      <c r="A19" s="228">
        <f>J7*2</f>
        <v>0</v>
      </c>
      <c r="B19" s="4"/>
      <c r="C19" s="4"/>
      <c r="D19" s="4"/>
      <c r="E19" s="19" t="s">
        <v>1</v>
      </c>
      <c r="F19" s="237">
        <f>$A$19</f>
        <v>0</v>
      </c>
      <c r="G19" s="42" t="str">
        <f>IF(COUNT(B19:D19)=0, "H", IF(COUNT(B20:D20)=0, "V", IF(MAX(B19:D19) &gt;= MAX(B20:D20), "V", "H")))</f>
        <v>H</v>
      </c>
      <c r="H19" s="44">
        <f>MAX(B19:D20)</f>
        <v>0</v>
      </c>
      <c r="I19" s="120">
        <v>-30</v>
      </c>
      <c r="J19" s="111" t="str">
        <f>IF(OR(I19-H19&gt;10,I19-H19=-30),"No Peak Found",I19-H19)</f>
        <v>No Peak Found</v>
      </c>
      <c r="K19" s="121" t="s">
        <v>8</v>
      </c>
      <c r="L19" s="232" t="str">
        <f>IF(OR(COUNTIF(B19:D20, "-")+COUNTBLANK(B19:D20)=6), "Pass", IF(H19 &gt; I19, "Fail", IF(J19 &lt; 3, "Margin 부족", "Pass")))</f>
        <v>Pass</v>
      </c>
      <c r="M19" s="234" t="s">
        <v>10</v>
      </c>
    </row>
    <row r="20" spans="1:16" ht="21.9" customHeight="1" x14ac:dyDescent="0.4">
      <c r="A20" s="236"/>
      <c r="B20" s="4"/>
      <c r="C20" s="4"/>
      <c r="D20" s="4"/>
      <c r="E20" s="19" t="s">
        <v>0</v>
      </c>
      <c r="F20" s="237"/>
      <c r="G20" s="42"/>
      <c r="H20" s="44"/>
      <c r="I20" s="120"/>
      <c r="J20" s="112"/>
      <c r="K20" s="121"/>
      <c r="L20" s="238"/>
      <c r="M20" s="239"/>
    </row>
    <row r="21" spans="1:16" ht="21.9" customHeight="1" x14ac:dyDescent="0.4">
      <c r="A21" s="228">
        <f>J7*3</f>
        <v>0</v>
      </c>
      <c r="B21" s="4"/>
      <c r="C21" s="4"/>
      <c r="D21" s="4"/>
      <c r="E21" s="19" t="s">
        <v>1</v>
      </c>
      <c r="F21" s="230">
        <f>$A$21</f>
        <v>0</v>
      </c>
      <c r="G21" s="42" t="str">
        <f>IF(COUNT(B21:D21)=0, "H", IF(COUNT(B22:D22)=0, "V", IF(MAX(B21:D21) &gt;= MAX(B22:D22), "V", "H")))</f>
        <v>H</v>
      </c>
      <c r="H21" s="44">
        <f>MAX(B21:D22)</f>
        <v>0</v>
      </c>
      <c r="I21" s="110">
        <v>-30</v>
      </c>
      <c r="J21" s="111" t="str">
        <f t="shared" ref="J21" si="0">IF(OR(I21-H21&gt;10,I21-H21=-30),"No Peak Found",I21-H21)</f>
        <v>No Peak Found</v>
      </c>
      <c r="K21" s="104" t="s">
        <v>8</v>
      </c>
      <c r="L21" s="232" t="str">
        <f>IF(OR(COUNTIF(B21:D22, "-")+COUNTBLANK(B21:D22)=6), "Pass", IF(H21 &gt; I21, "Fail", IF(J21 &lt; 3, "Margin 부족", "Pass")))</f>
        <v>Pass</v>
      </c>
      <c r="M21" s="234" t="s">
        <v>10</v>
      </c>
    </row>
    <row r="22" spans="1:16" ht="21.9" customHeight="1" x14ac:dyDescent="0.4">
      <c r="A22" s="236"/>
      <c r="B22" s="4"/>
      <c r="C22" s="4"/>
      <c r="D22" s="4"/>
      <c r="E22" s="19" t="s">
        <v>0</v>
      </c>
      <c r="F22" s="230"/>
      <c r="G22" s="42"/>
      <c r="H22" s="44"/>
      <c r="I22" s="110"/>
      <c r="J22" s="112"/>
      <c r="K22" s="104"/>
      <c r="L22" s="238"/>
      <c r="M22" s="239"/>
    </row>
    <row r="23" spans="1:16" ht="21.9" customHeight="1" x14ac:dyDescent="0.4">
      <c r="A23" s="228">
        <f>J7*4</f>
        <v>0</v>
      </c>
      <c r="B23" s="4"/>
      <c r="C23" s="4"/>
      <c r="D23" s="4"/>
      <c r="E23" s="19" t="s">
        <v>1</v>
      </c>
      <c r="F23" s="237">
        <f>$A$23</f>
        <v>0</v>
      </c>
      <c r="G23" s="42" t="str">
        <f>IF(COUNT(B23:D23)=0, "H", IF(COUNT(B24:D24)=0, "V", IF(MAX(B23:D23) &gt;= MAX(B24:D24), "V", "H")))</f>
        <v>H</v>
      </c>
      <c r="H23" s="44">
        <f>MAX(B23:D24)</f>
        <v>0</v>
      </c>
      <c r="I23" s="110">
        <v>-30</v>
      </c>
      <c r="J23" s="111" t="str">
        <f t="shared" ref="J23" si="1">IF(OR(I23-H23&gt;10,I23-H23=-30),"No Peak Found",I23-H23)</f>
        <v>No Peak Found</v>
      </c>
      <c r="K23" s="113" t="s">
        <v>8</v>
      </c>
      <c r="L23" s="232" t="str">
        <f>IF(OR(COUNTIF(B23:D24, "-")+COUNTBLANK(B23:D24)=6), "Pass", IF(H23 &gt; I23, "Fail", IF(J23 &lt; 3, "Margin 부족", "Pass")))</f>
        <v>Pass</v>
      </c>
      <c r="M23" s="234" t="s">
        <v>10</v>
      </c>
    </row>
    <row r="24" spans="1:16" ht="21.9" customHeight="1" x14ac:dyDescent="0.4">
      <c r="A24" s="236"/>
      <c r="B24" s="4"/>
      <c r="C24" s="4"/>
      <c r="D24" s="4"/>
      <c r="E24" s="19" t="s">
        <v>0</v>
      </c>
      <c r="F24" s="237"/>
      <c r="G24" s="42"/>
      <c r="H24" s="44"/>
      <c r="I24" s="110"/>
      <c r="J24" s="112"/>
      <c r="K24" s="113"/>
      <c r="L24" s="238"/>
      <c r="M24" s="239"/>
      <c r="N24" s="8" t="s">
        <v>7</v>
      </c>
      <c r="O24" s="6"/>
      <c r="P24" s="6"/>
    </row>
    <row r="25" spans="1:16" ht="21.9" customHeight="1" x14ac:dyDescent="0.4">
      <c r="A25" s="228">
        <f>J7*5</f>
        <v>0</v>
      </c>
      <c r="B25" s="4"/>
      <c r="C25" s="4"/>
      <c r="D25" s="4"/>
      <c r="E25" s="19" t="s">
        <v>1</v>
      </c>
      <c r="F25" s="230">
        <f>$A$25</f>
        <v>0</v>
      </c>
      <c r="G25" s="42" t="str">
        <f>IF(COUNT(B25:D25)=0, "H", IF(COUNT(B26:D26)=0, "V", IF(MAX(B25:D25) &gt;= MAX(B26:D26), "V", "H")))</f>
        <v>H</v>
      </c>
      <c r="H25" s="44">
        <f>MAX(B25:D26)</f>
        <v>0</v>
      </c>
      <c r="I25" s="110">
        <v>-30</v>
      </c>
      <c r="J25" s="111" t="str">
        <f t="shared" ref="J25" si="2">IF(OR(I25-H25&gt;10,I25-H25=-30),"No Peak Found",I25-H25)</f>
        <v>No Peak Found</v>
      </c>
      <c r="K25" s="113" t="s">
        <v>8</v>
      </c>
      <c r="L25" s="232" t="str">
        <f>IF(OR(COUNTIF(B25:D26, "-")+COUNTBLANK(B25:D26)=6), "Pass", IF(H25 &gt; I25, "Fail", IF(J25 &lt; 3, "Margin 부족", "Pass")))</f>
        <v>Pass</v>
      </c>
      <c r="M25" s="234" t="s">
        <v>10</v>
      </c>
      <c r="N25" s="82" t="str">
        <f>"1. WCDMA Band : " &amp; VALUE(RIGHT(A7, LEN(A7)-1))</f>
        <v>1. WCDMA Band : 5</v>
      </c>
      <c r="O25" s="83"/>
      <c r="P25" s="83"/>
    </row>
    <row r="26" spans="1:16" ht="21.9" customHeight="1" thickBot="1" x14ac:dyDescent="0.45">
      <c r="A26" s="229"/>
      <c r="B26" s="4"/>
      <c r="C26" s="4"/>
      <c r="D26" s="4"/>
      <c r="E26" s="20" t="s">
        <v>29</v>
      </c>
      <c r="F26" s="231"/>
      <c r="G26" s="43"/>
      <c r="H26" s="45"/>
      <c r="I26" s="114"/>
      <c r="J26" s="115"/>
      <c r="K26" s="116"/>
      <c r="L26" s="233"/>
      <c r="M26" s="235"/>
      <c r="N26" s="84" t="str">
        <f>"2. The test was performed the " &amp; H7 &amp; " antenna."</f>
        <v>2. The test was performed the  antenna.</v>
      </c>
      <c r="O26" s="85"/>
      <c r="P26" s="85"/>
    </row>
    <row r="27" spans="1:16" ht="24.9" customHeight="1" x14ac:dyDescent="0.4">
      <c r="A27" s="86" t="s">
        <v>13</v>
      </c>
      <c r="B27" s="87"/>
      <c r="C27" s="87"/>
      <c r="D27" s="87"/>
      <c r="E27" s="88"/>
      <c r="F27" s="90" t="s">
        <v>41</v>
      </c>
      <c r="G27" s="90"/>
      <c r="H27" s="90"/>
      <c r="I27" s="90"/>
      <c r="J27" s="90"/>
      <c r="K27" s="90"/>
      <c r="L27" s="90"/>
      <c r="M27" s="91"/>
    </row>
    <row r="28" spans="1:16" ht="24.9" customHeight="1" x14ac:dyDescent="0.4">
      <c r="A28" s="89"/>
      <c r="B28" s="87"/>
      <c r="C28" s="87"/>
      <c r="D28" s="87"/>
      <c r="E28" s="88"/>
      <c r="F28" s="92"/>
      <c r="G28" s="92"/>
      <c r="H28" s="92"/>
      <c r="I28" s="92"/>
      <c r="J28" s="92"/>
      <c r="K28" s="92"/>
      <c r="L28" s="92"/>
      <c r="M28" s="93"/>
      <c r="N28" s="8"/>
      <c r="O28" s="6"/>
      <c r="P28" s="6"/>
    </row>
    <row r="29" spans="1:16" ht="21.9" customHeight="1" thickBot="1" x14ac:dyDescent="0.45">
      <c r="A29" s="94" t="s">
        <v>5</v>
      </c>
      <c r="B29" s="95"/>
      <c r="C29" s="95"/>
      <c r="D29" s="95"/>
      <c r="E29" s="96"/>
      <c r="F29" s="97" t="s">
        <v>5</v>
      </c>
      <c r="G29" s="97"/>
      <c r="H29" s="97"/>
      <c r="I29" s="97"/>
      <c r="J29" s="97"/>
      <c r="K29" s="97"/>
      <c r="L29" s="97"/>
      <c r="M29" s="97"/>
    </row>
    <row r="30" spans="1:16" ht="21.9" customHeight="1" thickTop="1" x14ac:dyDescent="0.4">
      <c r="A30" s="60" t="s">
        <v>44</v>
      </c>
      <c r="B30" s="62" t="s">
        <v>15</v>
      </c>
      <c r="C30" s="62" t="s">
        <v>16</v>
      </c>
      <c r="D30" s="62" t="s">
        <v>17</v>
      </c>
      <c r="E30" s="98" t="s">
        <v>18</v>
      </c>
      <c r="F30" s="60" t="s">
        <v>44</v>
      </c>
      <c r="G30" s="100" t="s">
        <v>18</v>
      </c>
      <c r="H30" s="100" t="s">
        <v>30</v>
      </c>
      <c r="I30" s="72" t="s">
        <v>42</v>
      </c>
      <c r="J30" s="74" t="s">
        <v>43</v>
      </c>
      <c r="K30" s="76" t="s">
        <v>9</v>
      </c>
      <c r="L30" s="224" t="s">
        <v>19</v>
      </c>
      <c r="M30" s="226" t="s">
        <v>7</v>
      </c>
    </row>
    <row r="31" spans="1:16" ht="21.9" customHeight="1" x14ac:dyDescent="0.4">
      <c r="A31" s="61"/>
      <c r="B31" s="63"/>
      <c r="C31" s="63"/>
      <c r="D31" s="63"/>
      <c r="E31" s="99"/>
      <c r="F31" s="61"/>
      <c r="G31" s="101"/>
      <c r="H31" s="101"/>
      <c r="I31" s="73"/>
      <c r="J31" s="75"/>
      <c r="K31" s="77"/>
      <c r="L31" s="225"/>
      <c r="M31" s="227"/>
    </row>
    <row r="32" spans="1:16" ht="21.9" customHeight="1" x14ac:dyDescent="0.4">
      <c r="A32" s="46" t="s">
        <v>27</v>
      </c>
      <c r="B32" s="10"/>
      <c r="C32" s="1"/>
      <c r="D32" s="1"/>
      <c r="E32" s="11" t="s">
        <v>28</v>
      </c>
      <c r="F32" s="48" t="str">
        <f>A32</f>
        <v>Spurious</v>
      </c>
      <c r="G32" s="50" t="str">
        <f>IF(COUNT(B32:D32)=0, "H", IF(COUNT(B33:D33)=0, "V", IF(MAX(B32:D32) &gt;= MAX(B33:D33), "V", "H")))</f>
        <v>H</v>
      </c>
      <c r="H32" s="52">
        <f>MAX(B32:D33)</f>
        <v>0</v>
      </c>
      <c r="I32" s="54">
        <v>-57</v>
      </c>
      <c r="J32" s="64" t="str">
        <f>IF(OR(I32-H32&gt;10,I32-H32=-57),"No Peak Found",I32-H32)</f>
        <v>No Peak Found</v>
      </c>
      <c r="K32" s="66" t="s">
        <v>8</v>
      </c>
      <c r="L32" s="220" t="str">
        <f>IF(OR(COUNTIF(B32:D33, "-")+COUNTBLANK(B32:D33)=6), "Pass", IF(H32 &gt; I32, "Fail", IF(J32 &lt; 3, "Margin 부족", "Pass")))</f>
        <v>Pass</v>
      </c>
      <c r="M32" s="222" t="s">
        <v>11</v>
      </c>
    </row>
    <row r="33" spans="1:13" ht="21.9" customHeight="1" thickBot="1" x14ac:dyDescent="0.45">
      <c r="A33" s="47"/>
      <c r="B33" s="2"/>
      <c r="C33" s="2"/>
      <c r="D33" s="2"/>
      <c r="E33" s="12" t="s">
        <v>29</v>
      </c>
      <c r="F33" s="49"/>
      <c r="G33" s="51"/>
      <c r="H33" s="53"/>
      <c r="I33" s="55"/>
      <c r="J33" s="65"/>
      <c r="K33" s="67"/>
      <c r="L33" s="221"/>
      <c r="M33" s="223"/>
    </row>
    <row r="34" spans="1:13" ht="21.9" customHeight="1" thickBot="1" x14ac:dyDescent="0.45">
      <c r="A34" s="56" t="s">
        <v>34</v>
      </c>
      <c r="B34" s="57"/>
      <c r="C34" s="57"/>
      <c r="D34" s="57"/>
      <c r="E34" s="58"/>
      <c r="F34" s="59" t="s">
        <v>34</v>
      </c>
      <c r="G34" s="59"/>
      <c r="H34" s="59"/>
      <c r="I34" s="59"/>
      <c r="J34" s="59"/>
      <c r="K34" s="59"/>
      <c r="L34" s="59"/>
      <c r="M34" s="59"/>
    </row>
    <row r="35" spans="1:13" ht="21.9" customHeight="1" thickTop="1" x14ac:dyDescent="0.4">
      <c r="A35" s="60" t="s">
        <v>44</v>
      </c>
      <c r="B35" s="62" t="s">
        <v>15</v>
      </c>
      <c r="C35" s="62" t="s">
        <v>16</v>
      </c>
      <c r="D35" s="62" t="s">
        <v>17</v>
      </c>
      <c r="E35" s="98" t="s">
        <v>18</v>
      </c>
      <c r="F35" s="60" t="s">
        <v>44</v>
      </c>
      <c r="G35" s="100" t="s">
        <v>18</v>
      </c>
      <c r="H35" s="100" t="s">
        <v>30</v>
      </c>
      <c r="I35" s="72" t="s">
        <v>42</v>
      </c>
      <c r="J35" s="74" t="s">
        <v>43</v>
      </c>
      <c r="K35" s="76" t="s">
        <v>9</v>
      </c>
      <c r="L35" s="224" t="s">
        <v>19</v>
      </c>
      <c r="M35" s="226" t="s">
        <v>7</v>
      </c>
    </row>
    <row r="36" spans="1:13" ht="21.9" customHeight="1" x14ac:dyDescent="0.4">
      <c r="A36" s="61"/>
      <c r="B36" s="63"/>
      <c r="C36" s="63"/>
      <c r="D36" s="63"/>
      <c r="E36" s="99"/>
      <c r="F36" s="61"/>
      <c r="G36" s="101"/>
      <c r="H36" s="101"/>
      <c r="I36" s="73"/>
      <c r="J36" s="75"/>
      <c r="K36" s="77"/>
      <c r="L36" s="225"/>
      <c r="M36" s="227"/>
    </row>
    <row r="37" spans="1:13" ht="21.9" customHeight="1" x14ac:dyDescent="0.4">
      <c r="A37" s="46" t="s">
        <v>27</v>
      </c>
      <c r="B37" s="10"/>
      <c r="C37" s="1"/>
      <c r="D37" s="1"/>
      <c r="E37" s="11" t="s">
        <v>28</v>
      </c>
      <c r="F37" s="48" t="str">
        <f>A37</f>
        <v>Spurious</v>
      </c>
      <c r="G37" s="50" t="str">
        <f>IF(COUNT(B37:D37)=0, "H", IF(COUNT(B38:D38)=0, "V", IF(MAX(B37:D37) &gt;= MAX(B38:D38), "V", "H")))</f>
        <v>H</v>
      </c>
      <c r="H37" s="52">
        <f>MAX(B37:D38)</f>
        <v>0</v>
      </c>
      <c r="I37" s="54">
        <v>-47</v>
      </c>
      <c r="J37" s="64" t="str">
        <f>IF(OR(I37-H37&gt;10,I37-H37=-47),"No Peak Found",I37-H37)</f>
        <v>No Peak Found</v>
      </c>
      <c r="K37" s="66" t="s">
        <v>8</v>
      </c>
      <c r="L37" s="220" t="str">
        <f>IF(OR(COUNTIF(B37:D38, "-")+COUNTBLANK(B37:D38)=6), "Pass", IF(H37 &gt; I37, "Fail", IF(J37 &lt; 3, "Margin 부족", "Pass")))</f>
        <v>Pass</v>
      </c>
      <c r="M37" s="222" t="s">
        <v>11</v>
      </c>
    </row>
    <row r="38" spans="1:13" ht="21.9" customHeight="1" thickBot="1" x14ac:dyDescent="0.45">
      <c r="A38" s="47"/>
      <c r="B38" s="2"/>
      <c r="C38" s="2"/>
      <c r="D38" s="2"/>
      <c r="E38" s="12" t="s">
        <v>29</v>
      </c>
      <c r="F38" s="49"/>
      <c r="G38" s="51"/>
      <c r="H38" s="53"/>
      <c r="I38" s="55"/>
      <c r="J38" s="65"/>
      <c r="K38" s="67"/>
      <c r="L38" s="221"/>
      <c r="M38" s="223"/>
    </row>
    <row r="39" spans="1:13" ht="21.9" customHeight="1" x14ac:dyDescent="0.4"/>
  </sheetData>
  <mergeCells count="143">
    <mergeCell ref="J37:J38"/>
    <mergeCell ref="K37:K38"/>
    <mergeCell ref="L37:L38"/>
    <mergeCell ref="M37:M38"/>
    <mergeCell ref="I35:I36"/>
    <mergeCell ref="J35:J36"/>
    <mergeCell ref="K35:K36"/>
    <mergeCell ref="L35:L36"/>
    <mergeCell ref="M35:M36"/>
    <mergeCell ref="A37:A38"/>
    <mergeCell ref="F37:F38"/>
    <mergeCell ref="G37:G38"/>
    <mergeCell ref="H37:H38"/>
    <mergeCell ref="I37:I38"/>
    <mergeCell ref="A34:E34"/>
    <mergeCell ref="F34:M34"/>
    <mergeCell ref="A35:A36"/>
    <mergeCell ref="B35:B36"/>
    <mergeCell ref="C35:C36"/>
    <mergeCell ref="D35:D36"/>
    <mergeCell ref="E35:E36"/>
    <mergeCell ref="F35:F36"/>
    <mergeCell ref="G35:G36"/>
    <mergeCell ref="H35:H36"/>
    <mergeCell ref="M30:M31"/>
    <mergeCell ref="A32:A33"/>
    <mergeCell ref="F32:F33"/>
    <mergeCell ref="G32:G33"/>
    <mergeCell ref="H32:H33"/>
    <mergeCell ref="I32:I33"/>
    <mergeCell ref="J32:J33"/>
    <mergeCell ref="K32:K33"/>
    <mergeCell ref="L32:L33"/>
    <mergeCell ref="M32:M33"/>
    <mergeCell ref="G30:G31"/>
    <mergeCell ref="H30:H31"/>
    <mergeCell ref="I30:I31"/>
    <mergeCell ref="J30:J31"/>
    <mergeCell ref="K30:K31"/>
    <mergeCell ref="L30:L31"/>
    <mergeCell ref="A30:A31"/>
    <mergeCell ref="B30:B31"/>
    <mergeCell ref="C30:C31"/>
    <mergeCell ref="D30:D31"/>
    <mergeCell ref="E30:E31"/>
    <mergeCell ref="F30:F31"/>
    <mergeCell ref="M25:M26"/>
    <mergeCell ref="N25:P25"/>
    <mergeCell ref="N26:P26"/>
    <mergeCell ref="A27:E28"/>
    <mergeCell ref="F27:M28"/>
    <mergeCell ref="A29:E29"/>
    <mergeCell ref="F29:M29"/>
    <mergeCell ref="L23:L24"/>
    <mergeCell ref="M23:M24"/>
    <mergeCell ref="A25:A26"/>
    <mergeCell ref="F25:F26"/>
    <mergeCell ref="G25:G26"/>
    <mergeCell ref="H25:H26"/>
    <mergeCell ref="I25:I26"/>
    <mergeCell ref="J25:J26"/>
    <mergeCell ref="K25:K26"/>
    <mergeCell ref="L25:L26"/>
    <mergeCell ref="K21:K22"/>
    <mergeCell ref="L21:L22"/>
    <mergeCell ref="M21:M22"/>
    <mergeCell ref="A23:A24"/>
    <mergeCell ref="F23:F24"/>
    <mergeCell ref="G23:G24"/>
    <mergeCell ref="H23:H24"/>
    <mergeCell ref="I23:I24"/>
    <mergeCell ref="J23:J24"/>
    <mergeCell ref="K23:K24"/>
    <mergeCell ref="J19:J20"/>
    <mergeCell ref="K19:K20"/>
    <mergeCell ref="L19:L20"/>
    <mergeCell ref="M19:M20"/>
    <mergeCell ref="A21:A22"/>
    <mergeCell ref="F21:F22"/>
    <mergeCell ref="G21:G22"/>
    <mergeCell ref="H21:H22"/>
    <mergeCell ref="I21:I22"/>
    <mergeCell ref="J21:J22"/>
    <mergeCell ref="I17:I18"/>
    <mergeCell ref="J17:J18"/>
    <mergeCell ref="K17:K18"/>
    <mergeCell ref="L17:L18"/>
    <mergeCell ref="M17:M18"/>
    <mergeCell ref="A19:A20"/>
    <mergeCell ref="F19:F20"/>
    <mergeCell ref="G19:G20"/>
    <mergeCell ref="H19:H20"/>
    <mergeCell ref="I19:I20"/>
    <mergeCell ref="A16:E16"/>
    <mergeCell ref="F16:M16"/>
    <mergeCell ref="A17:A18"/>
    <mergeCell ref="B17:B18"/>
    <mergeCell ref="C17:C18"/>
    <mergeCell ref="D17:D18"/>
    <mergeCell ref="E17:E18"/>
    <mergeCell ref="F17:F18"/>
    <mergeCell ref="G17:G18"/>
    <mergeCell ref="H17:H18"/>
    <mergeCell ref="M12:M13"/>
    <mergeCell ref="A14:A15"/>
    <mergeCell ref="F14:F15"/>
    <mergeCell ref="G14:G15"/>
    <mergeCell ref="H14:H15"/>
    <mergeCell ref="I14:I15"/>
    <mergeCell ref="J14:J15"/>
    <mergeCell ref="K14:K15"/>
    <mergeCell ref="L14:L15"/>
    <mergeCell ref="M14:M15"/>
    <mergeCell ref="G12:G13"/>
    <mergeCell ref="H12:H13"/>
    <mergeCell ref="I12:I13"/>
    <mergeCell ref="J12:J13"/>
    <mergeCell ref="K12:K13"/>
    <mergeCell ref="L12:L13"/>
    <mergeCell ref="A9:E10"/>
    <mergeCell ref="F9:M10"/>
    <mergeCell ref="A11:E11"/>
    <mergeCell ref="F11:M11"/>
    <mergeCell ref="A12:A13"/>
    <mergeCell ref="B12:B13"/>
    <mergeCell ref="C12:C13"/>
    <mergeCell ref="D12:D13"/>
    <mergeCell ref="E12:E13"/>
    <mergeCell ref="F12:F13"/>
    <mergeCell ref="A5:E6"/>
    <mergeCell ref="F5:G6"/>
    <mergeCell ref="H5:I6"/>
    <mergeCell ref="J5:K6"/>
    <mergeCell ref="A7:E8"/>
    <mergeCell ref="F7:G8"/>
    <mergeCell ref="H7:I8"/>
    <mergeCell ref="J7:K8"/>
    <mergeCell ref="B1:D1"/>
    <mergeCell ref="E1:F2"/>
    <mergeCell ref="G1:M1"/>
    <mergeCell ref="B2:D2"/>
    <mergeCell ref="G2:M2"/>
    <mergeCell ref="A3:M4"/>
  </mergeCells>
  <phoneticPr fontId="1" type="noConversion"/>
  <conditionalFormatting sqref="J14">
    <cfRule type="cellIs" dxfId="20" priority="21" operator="lessThan">
      <formula>10</formula>
    </cfRule>
  </conditionalFormatting>
  <conditionalFormatting sqref="J14">
    <cfRule type="cellIs" dxfId="19" priority="20" operator="equal">
      <formula>-36</formula>
    </cfRule>
  </conditionalFormatting>
  <conditionalFormatting sqref="L14">
    <cfRule type="cellIs" dxfId="18" priority="19" operator="equal">
      <formula>"Fail"</formula>
    </cfRule>
  </conditionalFormatting>
  <conditionalFormatting sqref="L19">
    <cfRule type="cellIs" dxfId="17" priority="18" operator="equal">
      <formula>"Fail"</formula>
    </cfRule>
  </conditionalFormatting>
  <conditionalFormatting sqref="L21">
    <cfRule type="cellIs" dxfId="16" priority="17" operator="equal">
      <formula>"Fail"</formula>
    </cfRule>
  </conditionalFormatting>
  <conditionalFormatting sqref="L23">
    <cfRule type="cellIs" dxfId="15" priority="16" operator="equal">
      <formula>"Fail"</formula>
    </cfRule>
  </conditionalFormatting>
  <conditionalFormatting sqref="L25">
    <cfRule type="cellIs" dxfId="14" priority="15" operator="equal">
      <formula>"Fail"</formula>
    </cfRule>
  </conditionalFormatting>
  <conditionalFormatting sqref="V28">
    <cfRule type="cellIs" dxfId="13" priority="14" operator="equal">
      <formula>"Fail"</formula>
    </cfRule>
  </conditionalFormatting>
  <conditionalFormatting sqref="L14:L15 L19:L26">
    <cfRule type="cellIs" dxfId="12" priority="13" operator="equal">
      <formula>"Pass"</formula>
    </cfRule>
  </conditionalFormatting>
  <conditionalFormatting sqref="L32">
    <cfRule type="cellIs" dxfId="11" priority="12" operator="equal">
      <formula>"Fail"</formula>
    </cfRule>
  </conditionalFormatting>
  <conditionalFormatting sqref="L32:L33">
    <cfRule type="cellIs" dxfId="10" priority="11" operator="equal">
      <formula>"Pass"</formula>
    </cfRule>
  </conditionalFormatting>
  <conditionalFormatting sqref="L37">
    <cfRule type="cellIs" dxfId="9" priority="10" operator="equal">
      <formula>"Fail"</formula>
    </cfRule>
  </conditionalFormatting>
  <conditionalFormatting sqref="L37:L38">
    <cfRule type="cellIs" dxfId="8" priority="9" operator="equal">
      <formula>"Pass"</formula>
    </cfRule>
  </conditionalFormatting>
  <conditionalFormatting sqref="B14:D15">
    <cfRule type="top10" dxfId="7" priority="8" rank="1"/>
  </conditionalFormatting>
  <conditionalFormatting sqref="B19:D20">
    <cfRule type="top10" dxfId="6" priority="7" rank="1"/>
  </conditionalFormatting>
  <conditionalFormatting sqref="J19 J21 J23 J25">
    <cfRule type="expression" dxfId="5" priority="4">
      <formula>J19=-30</formula>
    </cfRule>
    <cfRule type="expression" dxfId="4" priority="5">
      <formula>AND(J19&lt;&gt;-30,J19&lt;=3)</formula>
    </cfRule>
    <cfRule type="expression" dxfId="3" priority="6">
      <formula>AND(J19&gt;3,J19&lt;10)</formula>
    </cfRule>
  </conditionalFormatting>
  <conditionalFormatting sqref="B21:D22">
    <cfRule type="top10" dxfId="2" priority="3" rank="1"/>
  </conditionalFormatting>
  <conditionalFormatting sqref="B23:D24">
    <cfRule type="top10" dxfId="1" priority="2" rank="1"/>
  </conditionalFormatting>
  <conditionalFormatting sqref="B25:D26">
    <cfRule type="top10" dxfId="0" priority="1" rank="1"/>
  </conditionalFormatting>
  <dataValidations count="1">
    <dataValidation type="list" allowBlank="1" showInputMessage="1" showErrorMessage="1" sqref="M14 M25 M19 M21 M23 M37:M38 M32:M33" xr:uid="{61A70949-0D83-4EDA-9C91-EC9A910C6251}">
      <formula1>"Fundamental, Harmonic, Noise Floor, -"</formula1>
    </dataValidation>
  </dataValidations>
  <pageMargins left="0.7" right="0.7" top="0.75" bottom="0.75" header="0.3" footer="0.3"/>
  <pageSetup paperSize="9" scale="27" orientation="portrait" r:id="rId1"/>
  <colBreaks count="1" manualBreakCount="1">
    <brk id="13" max="37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8FB771-3E69-4E7A-8524-2F7532373232}">
  <dimension ref="A1:P39"/>
  <sheetViews>
    <sheetView view="pageBreakPreview" zoomScale="85" zoomScaleNormal="100" zoomScaleSheetLayoutView="85" workbookViewId="0"/>
  </sheetViews>
  <sheetFormatPr defaultRowHeight="17.399999999999999" outlineLevelCol="1" x14ac:dyDescent="0.4"/>
  <cols>
    <col min="1" max="11" width="12.59765625" style="6" customWidth="1"/>
    <col min="12" max="13" width="12.59765625" hidden="1" customWidth="1" outlineLevel="1"/>
    <col min="14" max="14" width="12.59765625" customWidth="1" collapsed="1"/>
    <col min="15" max="22" width="12.59765625" customWidth="1"/>
  </cols>
  <sheetData>
    <row r="1" spans="1:13" ht="20.100000000000001" customHeight="1" x14ac:dyDescent="0.4">
      <c r="A1" s="5" t="s">
        <v>14</v>
      </c>
      <c r="B1" s="188"/>
      <c r="C1" s="189"/>
      <c r="D1" s="190"/>
      <c r="E1" s="191" t="s">
        <v>35</v>
      </c>
      <c r="F1" s="192"/>
      <c r="G1" s="188" t="s">
        <v>36</v>
      </c>
      <c r="H1" s="189"/>
      <c r="I1" s="189"/>
      <c r="J1" s="189"/>
      <c r="K1" s="189"/>
      <c r="L1" s="189"/>
      <c r="M1" s="190"/>
    </row>
    <row r="2" spans="1:13" ht="20.100000000000001" customHeight="1" thickBot="1" x14ac:dyDescent="0.45">
      <c r="A2" s="18" t="s">
        <v>47</v>
      </c>
      <c r="B2" s="195"/>
      <c r="C2" s="196"/>
      <c r="D2" s="197"/>
      <c r="E2" s="193"/>
      <c r="F2" s="194"/>
      <c r="G2" s="195" t="s">
        <v>45</v>
      </c>
      <c r="H2" s="196"/>
      <c r="I2" s="196"/>
      <c r="J2" s="196"/>
      <c r="K2" s="196"/>
      <c r="L2" s="196"/>
      <c r="M2" s="197"/>
    </row>
    <row r="3" spans="1:13" ht="24.9" customHeight="1" x14ac:dyDescent="0.4">
      <c r="A3" s="198" t="s">
        <v>51</v>
      </c>
      <c r="B3" s="199"/>
      <c r="C3" s="199"/>
      <c r="D3" s="199"/>
      <c r="E3" s="199"/>
      <c r="F3" s="199"/>
      <c r="G3" s="199"/>
      <c r="H3" s="199"/>
      <c r="I3" s="199"/>
      <c r="J3" s="199"/>
      <c r="K3" s="199"/>
      <c r="L3" s="199"/>
      <c r="M3" s="200"/>
    </row>
    <row r="4" spans="1:13" ht="24.9" customHeight="1" thickBot="1" x14ac:dyDescent="0.45">
      <c r="A4" s="201"/>
      <c r="B4" s="202"/>
      <c r="C4" s="202"/>
      <c r="D4" s="202"/>
      <c r="E4" s="202"/>
      <c r="F4" s="202"/>
      <c r="G4" s="202"/>
      <c r="H4" s="202"/>
      <c r="I4" s="202"/>
      <c r="J4" s="202"/>
      <c r="K4" s="202"/>
      <c r="L4" s="202"/>
      <c r="M4" s="203"/>
    </row>
    <row r="5" spans="1:13" ht="24.9" customHeight="1" x14ac:dyDescent="0.4">
      <c r="A5" s="206" t="s">
        <v>20</v>
      </c>
      <c r="B5" s="207"/>
      <c r="C5" s="207"/>
      <c r="D5" s="207"/>
      <c r="E5" s="208"/>
      <c r="F5" s="259" t="s">
        <v>56</v>
      </c>
      <c r="G5" s="208"/>
      <c r="H5" s="186" t="s">
        <v>54</v>
      </c>
      <c r="I5" s="186"/>
      <c r="J5" s="218" t="s">
        <v>55</v>
      </c>
      <c r="K5" s="218"/>
      <c r="L5" s="31"/>
      <c r="M5" s="32"/>
    </row>
    <row r="6" spans="1:13" ht="20.100000000000001" customHeight="1" x14ac:dyDescent="0.4">
      <c r="A6" s="209"/>
      <c r="B6" s="210"/>
      <c r="C6" s="210"/>
      <c r="D6" s="210"/>
      <c r="E6" s="211"/>
      <c r="F6" s="260"/>
      <c r="G6" s="211"/>
      <c r="H6" s="187"/>
      <c r="I6" s="187"/>
      <c r="J6" s="219"/>
      <c r="K6" s="219"/>
      <c r="L6" s="33"/>
      <c r="M6" s="34"/>
    </row>
    <row r="7" spans="1:13" ht="20.100000000000001" customHeight="1" x14ac:dyDescent="0.4">
      <c r="A7" s="212" t="s">
        <v>52</v>
      </c>
      <c r="B7" s="213"/>
      <c r="C7" s="213"/>
      <c r="D7" s="213"/>
      <c r="E7" s="214"/>
      <c r="F7" s="261"/>
      <c r="G7" s="214"/>
      <c r="H7" s="204"/>
      <c r="I7" s="204"/>
      <c r="J7" s="204"/>
      <c r="K7" s="204"/>
      <c r="L7" s="29"/>
      <c r="M7" s="30"/>
    </row>
    <row r="8" spans="1:13" ht="20.100000000000001" customHeight="1" thickBot="1" x14ac:dyDescent="0.45">
      <c r="A8" s="215"/>
      <c r="B8" s="216"/>
      <c r="C8" s="216"/>
      <c r="D8" s="216"/>
      <c r="E8" s="217"/>
      <c r="F8" s="262"/>
      <c r="G8" s="217"/>
      <c r="H8" s="205"/>
      <c r="I8" s="205"/>
      <c r="J8" s="205"/>
      <c r="K8" s="205"/>
      <c r="L8" s="35"/>
      <c r="M8" s="36"/>
    </row>
    <row r="9" spans="1:13" ht="24.9" customHeight="1" x14ac:dyDescent="0.4">
      <c r="A9" s="174" t="s">
        <v>12</v>
      </c>
      <c r="B9" s="175"/>
      <c r="C9" s="175"/>
      <c r="D9" s="175"/>
      <c r="E9" s="178"/>
      <c r="F9" s="174" t="s">
        <v>40</v>
      </c>
      <c r="G9" s="175"/>
      <c r="H9" s="175"/>
      <c r="I9" s="175"/>
      <c r="J9" s="175"/>
      <c r="K9" s="175"/>
      <c r="L9" s="175"/>
      <c r="M9" s="178"/>
    </row>
    <row r="10" spans="1:13" ht="24.9" customHeight="1" thickBot="1" x14ac:dyDescent="0.45">
      <c r="A10" s="176"/>
      <c r="B10" s="177"/>
      <c r="C10" s="177"/>
      <c r="D10" s="177"/>
      <c r="E10" s="254"/>
      <c r="F10" s="179"/>
      <c r="G10" s="180"/>
      <c r="H10" s="180"/>
      <c r="I10" s="180"/>
      <c r="J10" s="180"/>
      <c r="K10" s="180"/>
      <c r="L10" s="180"/>
      <c r="M10" s="181"/>
    </row>
    <row r="11" spans="1:13" ht="21.9" customHeight="1" thickBot="1" x14ac:dyDescent="0.45">
      <c r="A11" s="255" t="s">
        <v>6</v>
      </c>
      <c r="B11" s="256"/>
      <c r="C11" s="256"/>
      <c r="D11" s="256"/>
      <c r="E11" s="257"/>
      <c r="F11" s="256" t="s">
        <v>6</v>
      </c>
      <c r="G11" s="256"/>
      <c r="H11" s="256"/>
      <c r="I11" s="256"/>
      <c r="J11" s="59"/>
      <c r="K11" s="256"/>
      <c r="L11" s="256"/>
      <c r="M11" s="258"/>
    </row>
    <row r="12" spans="1:13" ht="21.9" customHeight="1" thickTop="1" x14ac:dyDescent="0.4">
      <c r="A12" s="252" t="s">
        <v>44</v>
      </c>
      <c r="B12" s="62" t="s">
        <v>4</v>
      </c>
      <c r="C12" s="62" t="s">
        <v>16</v>
      </c>
      <c r="D12" s="62" t="s">
        <v>3</v>
      </c>
      <c r="E12" s="253" t="s">
        <v>2</v>
      </c>
      <c r="F12" s="146" t="s">
        <v>44</v>
      </c>
      <c r="G12" s="100" t="s">
        <v>18</v>
      </c>
      <c r="H12" s="100" t="s">
        <v>30</v>
      </c>
      <c r="I12" s="72" t="s">
        <v>42</v>
      </c>
      <c r="J12" s="74" t="s">
        <v>43</v>
      </c>
      <c r="K12" s="146" t="s">
        <v>9</v>
      </c>
      <c r="L12" s="224" t="s">
        <v>19</v>
      </c>
      <c r="M12" s="226" t="s">
        <v>7</v>
      </c>
    </row>
    <row r="13" spans="1:13" ht="21.9" customHeight="1" x14ac:dyDescent="0.4">
      <c r="A13" s="129"/>
      <c r="B13" s="63"/>
      <c r="C13" s="63"/>
      <c r="D13" s="63"/>
      <c r="E13" s="133"/>
      <c r="F13" s="147"/>
      <c r="G13" s="101"/>
      <c r="H13" s="101"/>
      <c r="I13" s="73"/>
      <c r="J13" s="75"/>
      <c r="K13" s="147"/>
      <c r="L13" s="225"/>
      <c r="M13" s="227"/>
    </row>
    <row r="14" spans="1:13" ht="21.9" customHeight="1" x14ac:dyDescent="0.4">
      <c r="A14" s="246" t="s">
        <v>27</v>
      </c>
      <c r="B14" s="3"/>
      <c r="C14" s="3"/>
      <c r="D14" s="3"/>
      <c r="E14" s="15" t="s">
        <v>28</v>
      </c>
      <c r="F14" s="248" t="str">
        <f>A14</f>
        <v>Spurious</v>
      </c>
      <c r="G14" s="42" t="str">
        <f>IF(COUNT(B14:D14)=0, "H", IF(COUNT(B15:D15)=0, "V", IF(MAX(B14:D14) &gt;= MAX(B15:D15), "V", "H")))</f>
        <v>H</v>
      </c>
      <c r="H14" s="44">
        <f>MAX(B14:D15)</f>
        <v>0</v>
      </c>
      <c r="I14" s="120">
        <v>-36</v>
      </c>
      <c r="J14" s="134" t="str">
        <f>IF(OR(I14-H14&gt;10,I14-H14=-36),"No Peak Found",I14-H14)</f>
        <v>No Peak Found</v>
      </c>
      <c r="K14" s="136" t="s">
        <v>8</v>
      </c>
      <c r="L14" s="220" t="str">
        <f>IF(OR(COUNTIF(B14:D15, "-")+COUNTBLANK(B14:D15)=6), "Pass", IF(H14 &gt; I14, "Fail", IF(J14 &lt; 3, "Margin 부족", "Pass")))</f>
        <v>Pass</v>
      </c>
      <c r="M14" s="250" t="s">
        <v>11</v>
      </c>
    </row>
    <row r="15" spans="1:13" ht="21.9" customHeight="1" thickBot="1" x14ac:dyDescent="0.45">
      <c r="A15" s="247"/>
      <c r="B15" s="16"/>
      <c r="C15" s="16"/>
      <c r="D15" s="16"/>
      <c r="E15" s="17" t="s">
        <v>29</v>
      </c>
      <c r="F15" s="249"/>
      <c r="G15" s="163"/>
      <c r="H15" s="164"/>
      <c r="I15" s="165"/>
      <c r="J15" s="135"/>
      <c r="K15" s="166"/>
      <c r="L15" s="221"/>
      <c r="M15" s="251"/>
    </row>
    <row r="16" spans="1:13" ht="21.9" customHeight="1" thickBot="1" x14ac:dyDescent="0.45">
      <c r="A16" s="240" t="s">
        <v>46</v>
      </c>
      <c r="B16" s="59"/>
      <c r="C16" s="59"/>
      <c r="D16" s="59"/>
      <c r="E16" s="59"/>
      <c r="F16" s="142" t="s">
        <v>46</v>
      </c>
      <c r="G16" s="143"/>
      <c r="H16" s="143"/>
      <c r="I16" s="143"/>
      <c r="J16" s="59"/>
      <c r="K16" s="143"/>
      <c r="L16" s="144"/>
      <c r="M16" s="145"/>
    </row>
    <row r="17" spans="1:16" ht="21.9" customHeight="1" thickTop="1" x14ac:dyDescent="0.4">
      <c r="A17" s="60" t="s">
        <v>44</v>
      </c>
      <c r="B17" s="62" t="s">
        <v>15</v>
      </c>
      <c r="C17" s="62" t="s">
        <v>16</v>
      </c>
      <c r="D17" s="62" t="s">
        <v>17</v>
      </c>
      <c r="E17" s="98" t="s">
        <v>18</v>
      </c>
      <c r="F17" s="241" t="s">
        <v>44</v>
      </c>
      <c r="G17" s="122" t="s">
        <v>18</v>
      </c>
      <c r="H17" s="122" t="s">
        <v>30</v>
      </c>
      <c r="I17" s="123" t="s">
        <v>42</v>
      </c>
      <c r="J17" s="74" t="s">
        <v>43</v>
      </c>
      <c r="K17" s="124" t="s">
        <v>9</v>
      </c>
      <c r="L17" s="242" t="s">
        <v>19</v>
      </c>
      <c r="M17" s="244" t="s">
        <v>7</v>
      </c>
    </row>
    <row r="18" spans="1:16" ht="21.75" customHeight="1" x14ac:dyDescent="0.4">
      <c r="A18" s="61"/>
      <c r="B18" s="131"/>
      <c r="C18" s="131"/>
      <c r="D18" s="131"/>
      <c r="E18" s="99"/>
      <c r="F18" s="147"/>
      <c r="G18" s="101"/>
      <c r="H18" s="101"/>
      <c r="I18" s="73"/>
      <c r="J18" s="75"/>
      <c r="K18" s="125"/>
      <c r="L18" s="243"/>
      <c r="M18" s="245"/>
    </row>
    <row r="19" spans="1:16" ht="21.9" customHeight="1" x14ac:dyDescent="0.4">
      <c r="A19" s="228">
        <f>J7*2</f>
        <v>0</v>
      </c>
      <c r="B19" s="4"/>
      <c r="C19" s="4"/>
      <c r="D19" s="4"/>
      <c r="E19" s="19" t="s">
        <v>1</v>
      </c>
      <c r="F19" s="237">
        <f>$A$19</f>
        <v>0</v>
      </c>
      <c r="G19" s="42" t="str">
        <f>IF(COUNT(B19:D19)=0, "H", IF(COUNT(B20:D20)=0, "V", IF(MAX(B19:D19) &gt;= MAX(B20:D20), "V", "H")))</f>
        <v>H</v>
      </c>
      <c r="H19" s="44">
        <f>MAX(B19:D20)</f>
        <v>0</v>
      </c>
      <c r="I19" s="120">
        <v>-30</v>
      </c>
      <c r="J19" s="111" t="str">
        <f>IF(OR(I19-H19&gt;10,I19-H19=-30),"No Peak Found",I19-H19)</f>
        <v>No Peak Found</v>
      </c>
      <c r="K19" s="121" t="s">
        <v>8</v>
      </c>
      <c r="L19" s="232" t="str">
        <f>IF(OR(COUNTIF(B19:D20, "-")+COUNTBLANK(B19:D20)=6), "Pass", IF(H19 &gt; I19, "Fail", IF(J19 &lt; 3, "Margin 부족", "Pass")))</f>
        <v>Pass</v>
      </c>
      <c r="M19" s="234" t="s">
        <v>10</v>
      </c>
    </row>
    <row r="20" spans="1:16" ht="21.9" customHeight="1" x14ac:dyDescent="0.4">
      <c r="A20" s="236"/>
      <c r="B20" s="4"/>
      <c r="C20" s="4"/>
      <c r="D20" s="4"/>
      <c r="E20" s="19" t="s">
        <v>0</v>
      </c>
      <c r="F20" s="237"/>
      <c r="G20" s="42"/>
      <c r="H20" s="44"/>
      <c r="I20" s="120"/>
      <c r="J20" s="112"/>
      <c r="K20" s="121"/>
      <c r="L20" s="238"/>
      <c r="M20" s="239"/>
    </row>
    <row r="21" spans="1:16" ht="21.9" customHeight="1" x14ac:dyDescent="0.4">
      <c r="A21" s="228">
        <f>J7*3</f>
        <v>0</v>
      </c>
      <c r="B21" s="4"/>
      <c r="C21" s="4"/>
      <c r="D21" s="4"/>
      <c r="E21" s="19" t="s">
        <v>1</v>
      </c>
      <c r="F21" s="230">
        <f>$A$21</f>
        <v>0</v>
      </c>
      <c r="G21" s="42" t="str">
        <f>IF(COUNT(B21:D21)=0, "H", IF(COUNT(B22:D22)=0, "V", IF(MAX(B21:D21) &gt;= MAX(B22:D22), "V", "H")))</f>
        <v>H</v>
      </c>
      <c r="H21" s="44">
        <f>MAX(B21:D22)</f>
        <v>0</v>
      </c>
      <c r="I21" s="110">
        <v>-30</v>
      </c>
      <c r="J21" s="111" t="str">
        <f t="shared" ref="J21" si="0">IF(OR(I21-H21&gt;10,I21-H21=-30),"No Peak Found",I21-H21)</f>
        <v>No Peak Found</v>
      </c>
      <c r="K21" s="104" t="s">
        <v>8</v>
      </c>
      <c r="L21" s="232" t="str">
        <f>IF(OR(COUNTIF(B21:D22, "-")+COUNTBLANK(B21:D22)=6), "Pass", IF(H21 &gt; I21, "Fail", IF(J21 &lt; 3, "Margin 부족", "Pass")))</f>
        <v>Pass</v>
      </c>
      <c r="M21" s="234" t="s">
        <v>10</v>
      </c>
    </row>
    <row r="22" spans="1:16" ht="21.9" customHeight="1" x14ac:dyDescent="0.4">
      <c r="A22" s="236"/>
      <c r="B22" s="4"/>
      <c r="C22" s="4"/>
      <c r="D22" s="4"/>
      <c r="E22" s="19" t="s">
        <v>0</v>
      </c>
      <c r="F22" s="230"/>
      <c r="G22" s="42"/>
      <c r="H22" s="44"/>
      <c r="I22" s="110"/>
      <c r="J22" s="112"/>
      <c r="K22" s="104"/>
      <c r="L22" s="238"/>
      <c r="M22" s="239"/>
    </row>
    <row r="23" spans="1:16" ht="21.9" customHeight="1" x14ac:dyDescent="0.4">
      <c r="A23" s="228">
        <f>J7*4</f>
        <v>0</v>
      </c>
      <c r="B23" s="4"/>
      <c r="C23" s="4"/>
      <c r="D23" s="4"/>
      <c r="E23" s="19" t="s">
        <v>1</v>
      </c>
      <c r="F23" s="237">
        <f>$A$23</f>
        <v>0</v>
      </c>
      <c r="G23" s="42" t="str">
        <f>IF(COUNT(B23:D23)=0, "H", IF(COUNT(B24:D24)=0, "V", IF(MAX(B23:D23) &gt;= MAX(B24:D24), "V", "H")))</f>
        <v>H</v>
      </c>
      <c r="H23" s="44">
        <f>MAX(B23:D24)</f>
        <v>0</v>
      </c>
      <c r="I23" s="110">
        <v>-30</v>
      </c>
      <c r="J23" s="111" t="str">
        <f t="shared" ref="J23" si="1">IF(OR(I23-H23&gt;10,I23-H23=-30),"No Peak Found",I23-H23)</f>
        <v>No Peak Found</v>
      </c>
      <c r="K23" s="113" t="s">
        <v>8</v>
      </c>
      <c r="L23" s="232" t="str">
        <f>IF(OR(COUNTIF(B23:D24, "-")+COUNTBLANK(B23:D24)=6), "Pass", IF(H23 &gt; I23, "Fail", IF(J23 &lt; 3, "Margin 부족", "Pass")))</f>
        <v>Pass</v>
      </c>
      <c r="M23" s="234" t="s">
        <v>10</v>
      </c>
    </row>
    <row r="24" spans="1:16" ht="21.9" customHeight="1" x14ac:dyDescent="0.4">
      <c r="A24" s="236"/>
      <c r="B24" s="4"/>
      <c r="C24" s="4"/>
      <c r="D24" s="4"/>
      <c r="E24" s="19" t="s">
        <v>0</v>
      </c>
      <c r="F24" s="237"/>
      <c r="G24" s="42"/>
      <c r="H24" s="44"/>
      <c r="I24" s="110"/>
      <c r="J24" s="112"/>
      <c r="K24" s="113"/>
      <c r="L24" s="238"/>
      <c r="M24" s="239"/>
      <c r="N24" s="8" t="s">
        <v>7</v>
      </c>
      <c r="O24" s="6"/>
      <c r="P24" s="6"/>
    </row>
    <row r="25" spans="1:16" ht="21.9" customHeight="1" x14ac:dyDescent="0.4">
      <c r="A25" s="228">
        <f>J7*5</f>
        <v>0</v>
      </c>
      <c r="B25" s="4"/>
      <c r="C25" s="4"/>
      <c r="D25" s="4"/>
      <c r="E25" s="19" t="s">
        <v>1</v>
      </c>
      <c r="F25" s="230">
        <f>$A$25</f>
        <v>0</v>
      </c>
      <c r="G25" s="42" t="str">
        <f>IF(COUNT(B25:D25)=0, "H", IF(COUNT(B26:D26)=0, "V", IF(MAX(B25:D25) &gt;= MAX(B26:D26), "V", "H")))</f>
        <v>H</v>
      </c>
      <c r="H25" s="44">
        <f>MAX(B25:D26)</f>
        <v>0</v>
      </c>
      <c r="I25" s="110">
        <v>-30</v>
      </c>
      <c r="J25" s="111" t="str">
        <f t="shared" ref="J25" si="2">IF(OR(I25-H25&gt;10,I25-H25=-30),"No Peak Found",I25-H25)</f>
        <v>No Peak Found</v>
      </c>
      <c r="K25" s="113" t="s">
        <v>8</v>
      </c>
      <c r="L25" s="232" t="str">
        <f>IF(OR(COUNTIF(B25:D26, "-")+COUNTBLANK(B25:D26)=6), "Pass", IF(H25 &gt; I25, "Fail", IF(J25 &lt; 3, "Margin 부족", "Pass")))</f>
        <v>Pass</v>
      </c>
      <c r="M25" s="234" t="s">
        <v>10</v>
      </c>
      <c r="N25" s="82" t="str">
        <f>"1. WCDMA Band : " &amp; VALUE(RIGHT(A7, LEN(A7)-1))</f>
        <v>1. WCDMA Band : 8</v>
      </c>
      <c r="O25" s="83"/>
      <c r="P25" s="83"/>
    </row>
    <row r="26" spans="1:16" ht="21.9" customHeight="1" thickBot="1" x14ac:dyDescent="0.45">
      <c r="A26" s="229"/>
      <c r="B26" s="4"/>
      <c r="C26" s="4"/>
      <c r="D26" s="4"/>
      <c r="E26" s="20" t="s">
        <v>29</v>
      </c>
      <c r="F26" s="231"/>
      <c r="G26" s="43"/>
      <c r="H26" s="45"/>
      <c r="I26" s="114"/>
      <c r="J26" s="115"/>
      <c r="K26" s="116"/>
      <c r="L26" s="233"/>
      <c r="M26" s="235"/>
      <c r="N26" s="84" t="str">
        <f>"2. The test was performed the " &amp; H7 &amp; " antenna."</f>
        <v>2. The test was performed the  antenna.</v>
      </c>
      <c r="O26" s="85"/>
      <c r="P26" s="85"/>
    </row>
    <row r="27" spans="1:16" ht="24.9" customHeight="1" x14ac:dyDescent="0.4">
      <c r="A27" s="86" t="s">
        <v>13</v>
      </c>
      <c r="B27" s="87"/>
      <c r="C27" s="87"/>
      <c r="D27" s="87"/>
      <c r="E27" s="88"/>
      <c r="F27" s="90" t="s">
        <v>41</v>
      </c>
      <c r="G27" s="90"/>
      <c r="H27" s="90"/>
      <c r="I27" s="90"/>
      <c r="J27" s="90"/>
      <c r="K27" s="90"/>
      <c r="L27" s="90"/>
      <c r="M27" s="91"/>
    </row>
    <row r="28" spans="1:16" ht="24.9" customHeight="1" x14ac:dyDescent="0.4">
      <c r="A28" s="89"/>
      <c r="B28" s="87"/>
      <c r="C28" s="87"/>
      <c r="D28" s="87"/>
      <c r="E28" s="88"/>
      <c r="F28" s="92"/>
      <c r="G28" s="92"/>
      <c r="H28" s="92"/>
      <c r="I28" s="92"/>
      <c r="J28" s="92"/>
      <c r="K28" s="92"/>
      <c r="L28" s="92"/>
      <c r="M28" s="93"/>
      <c r="N28" s="8"/>
      <c r="O28" s="6"/>
      <c r="P28" s="6"/>
    </row>
    <row r="29" spans="1:16" ht="21.9" customHeight="1" thickBot="1" x14ac:dyDescent="0.45">
      <c r="A29" s="94" t="s">
        <v>5</v>
      </c>
      <c r="B29" s="95"/>
      <c r="C29" s="95"/>
      <c r="D29" s="95"/>
      <c r="E29" s="96"/>
      <c r="F29" s="97" t="s">
        <v>5</v>
      </c>
      <c r="G29" s="97"/>
      <c r="H29" s="97"/>
      <c r="I29" s="97"/>
      <c r="J29" s="97"/>
      <c r="K29" s="97"/>
      <c r="L29" s="97"/>
      <c r="M29" s="97"/>
    </row>
    <row r="30" spans="1:16" ht="21.9" customHeight="1" thickTop="1" x14ac:dyDescent="0.4">
      <c r="A30" s="60" t="s">
        <v>44</v>
      </c>
      <c r="B30" s="62" t="s">
        <v>15</v>
      </c>
      <c r="C30" s="62" t="s">
        <v>16</v>
      </c>
      <c r="D30" s="62" t="s">
        <v>17</v>
      </c>
      <c r="E30" s="98" t="s">
        <v>18</v>
      </c>
      <c r="F30" s="60" t="s">
        <v>44</v>
      </c>
      <c r="G30" s="100" t="s">
        <v>18</v>
      </c>
      <c r="H30" s="100" t="s">
        <v>30</v>
      </c>
      <c r="I30" s="72" t="s">
        <v>42</v>
      </c>
      <c r="J30" s="74" t="s">
        <v>43</v>
      </c>
      <c r="K30" s="76" t="s">
        <v>9</v>
      </c>
      <c r="L30" s="224" t="s">
        <v>19</v>
      </c>
      <c r="M30" s="226" t="s">
        <v>7</v>
      </c>
    </row>
    <row r="31" spans="1:16" ht="21.9" customHeight="1" x14ac:dyDescent="0.4">
      <c r="A31" s="61"/>
      <c r="B31" s="63"/>
      <c r="C31" s="63"/>
      <c r="D31" s="63"/>
      <c r="E31" s="99"/>
      <c r="F31" s="61"/>
      <c r="G31" s="101"/>
      <c r="H31" s="101"/>
      <c r="I31" s="73"/>
      <c r="J31" s="75"/>
      <c r="K31" s="77"/>
      <c r="L31" s="225"/>
      <c r="M31" s="227"/>
    </row>
    <row r="32" spans="1:16" ht="21.9" customHeight="1" x14ac:dyDescent="0.4">
      <c r="A32" s="46" t="s">
        <v>27</v>
      </c>
      <c r="B32" s="10"/>
      <c r="C32" s="1"/>
      <c r="D32" s="1"/>
      <c r="E32" s="11" t="s">
        <v>28</v>
      </c>
      <c r="F32" s="48" t="str">
        <f>A32</f>
        <v>Spurious</v>
      </c>
      <c r="G32" s="50" t="str">
        <f>IF(COUNT(B32:D32)=0, "H", IF(COUNT(B33:D33)=0, "V", IF(MAX(B32:D32) &gt;= MAX(B33:D33), "V", "H")))</f>
        <v>H</v>
      </c>
      <c r="H32" s="52">
        <f>MAX(B32:D33)</f>
        <v>0</v>
      </c>
      <c r="I32" s="54">
        <v>-57</v>
      </c>
      <c r="J32" s="64" t="str">
        <f>IF(OR(I32-H32&gt;10,I32-H32=-57),"No Peak Found",I32-H32)</f>
        <v>No Peak Found</v>
      </c>
      <c r="K32" s="66" t="s">
        <v>8</v>
      </c>
      <c r="L32" s="220" t="str">
        <f>IF(OR(COUNTIF(B32:D33, "-")+COUNTBLANK(B32:D33)=6), "Pass", IF(H32 &gt; I32, "Fail", IF(J32 &lt; 3, "Margin 부족", "Pass")))</f>
        <v>Pass</v>
      </c>
      <c r="M32" s="222" t="s">
        <v>11</v>
      </c>
    </row>
    <row r="33" spans="1:13" ht="21.9" customHeight="1" thickBot="1" x14ac:dyDescent="0.45">
      <c r="A33" s="47"/>
      <c r="B33" s="2"/>
      <c r="C33" s="2"/>
      <c r="D33" s="2"/>
      <c r="E33" s="12" t="s">
        <v>29</v>
      </c>
      <c r="F33" s="49"/>
      <c r="G33" s="51"/>
      <c r="H33" s="53"/>
      <c r="I33" s="55"/>
      <c r="J33" s="65"/>
      <c r="K33" s="67"/>
      <c r="L33" s="221"/>
      <c r="M33" s="223"/>
    </row>
    <row r="34" spans="1:13" ht="21.9" customHeight="1" thickBot="1" x14ac:dyDescent="0.45">
      <c r="A34" s="56" t="s">
        <v>34</v>
      </c>
      <c r="B34" s="57"/>
      <c r="C34" s="57"/>
      <c r="D34" s="57"/>
      <c r="E34" s="58"/>
      <c r="F34" s="59" t="s">
        <v>34</v>
      </c>
      <c r="G34" s="59"/>
      <c r="H34" s="59"/>
      <c r="I34" s="59"/>
      <c r="J34" s="59"/>
      <c r="K34" s="59"/>
      <c r="L34" s="59"/>
      <c r="M34" s="59"/>
    </row>
    <row r="35" spans="1:13" ht="21.9" customHeight="1" thickTop="1" x14ac:dyDescent="0.4">
      <c r="A35" s="60" t="s">
        <v>44</v>
      </c>
      <c r="B35" s="62" t="s">
        <v>15</v>
      </c>
      <c r="C35" s="62" t="s">
        <v>16</v>
      </c>
      <c r="D35" s="62" t="s">
        <v>17</v>
      </c>
      <c r="E35" s="98" t="s">
        <v>18</v>
      </c>
      <c r="F35" s="60" t="s">
        <v>44</v>
      </c>
      <c r="G35" s="100" t="s">
        <v>18</v>
      </c>
      <c r="H35" s="100" t="s">
        <v>30</v>
      </c>
      <c r="I35" s="72" t="s">
        <v>42</v>
      </c>
      <c r="J35" s="74" t="s">
        <v>43</v>
      </c>
      <c r="K35" s="76" t="s">
        <v>9</v>
      </c>
      <c r="L35" s="224" t="s">
        <v>19</v>
      </c>
      <c r="M35" s="226" t="s">
        <v>7</v>
      </c>
    </row>
    <row r="36" spans="1:13" ht="21.9" customHeight="1" x14ac:dyDescent="0.4">
      <c r="A36" s="61"/>
      <c r="B36" s="63"/>
      <c r="C36" s="63"/>
      <c r="D36" s="63"/>
      <c r="E36" s="99"/>
      <c r="F36" s="61"/>
      <c r="G36" s="101"/>
      <c r="H36" s="101"/>
      <c r="I36" s="73"/>
      <c r="J36" s="75"/>
      <c r="K36" s="77"/>
      <c r="L36" s="225"/>
      <c r="M36" s="227"/>
    </row>
    <row r="37" spans="1:13" ht="21.9" customHeight="1" x14ac:dyDescent="0.4">
      <c r="A37" s="46" t="s">
        <v>27</v>
      </c>
      <c r="B37" s="10"/>
      <c r="C37" s="1"/>
      <c r="D37" s="1"/>
      <c r="E37" s="11" t="s">
        <v>28</v>
      </c>
      <c r="F37" s="48" t="str">
        <f>A37</f>
        <v>Spurious</v>
      </c>
      <c r="G37" s="50" t="str">
        <f>IF(COUNT(B37:D37)=0, "H", IF(COUNT(B38:D38)=0, "V", IF(MAX(B37:D37) &gt;= MAX(B38:D38), "V", "H")))</f>
        <v>H</v>
      </c>
      <c r="H37" s="52">
        <f>MAX(B37:D38)</f>
        <v>0</v>
      </c>
      <c r="I37" s="54">
        <v>-47</v>
      </c>
      <c r="J37" s="64" t="str">
        <f>IF(OR(I37-H37&gt;10,I37-H37=-47),"No Peak Found",I37-H37)</f>
        <v>No Peak Found</v>
      </c>
      <c r="K37" s="66" t="s">
        <v>8</v>
      </c>
      <c r="L37" s="220" t="str">
        <f>IF(OR(COUNTIF(B37:D38, "-")+COUNTBLANK(B37:D38)=6), "Pass", IF(H37 &gt; I37, "Fail", IF(J37 &lt; 3, "Margin 부족", "Pass")))</f>
        <v>Pass</v>
      </c>
      <c r="M37" s="222" t="s">
        <v>11</v>
      </c>
    </row>
    <row r="38" spans="1:13" ht="21.9" customHeight="1" thickBot="1" x14ac:dyDescent="0.45">
      <c r="A38" s="47"/>
      <c r="B38" s="2"/>
      <c r="C38" s="2"/>
      <c r="D38" s="2"/>
      <c r="E38" s="12" t="s">
        <v>29</v>
      </c>
      <c r="F38" s="49"/>
      <c r="G38" s="51"/>
      <c r="H38" s="53"/>
      <c r="I38" s="55"/>
      <c r="J38" s="65"/>
      <c r="K38" s="67"/>
      <c r="L38" s="221"/>
      <c r="M38" s="223"/>
    </row>
    <row r="39" spans="1:13" ht="21.9" customHeight="1" x14ac:dyDescent="0.4"/>
  </sheetData>
  <mergeCells count="143">
    <mergeCell ref="B1:D1"/>
    <mergeCell ref="E1:F2"/>
    <mergeCell ref="G1:M1"/>
    <mergeCell ref="B2:D2"/>
    <mergeCell ref="G2:M2"/>
    <mergeCell ref="A3:M4"/>
    <mergeCell ref="A5:E6"/>
    <mergeCell ref="A7:E8"/>
    <mergeCell ref="J5:K6"/>
    <mergeCell ref="H7:I8"/>
    <mergeCell ref="H5:I6"/>
    <mergeCell ref="J7:K8"/>
    <mergeCell ref="F5:G6"/>
    <mergeCell ref="F7:G8"/>
    <mergeCell ref="A12:A13"/>
    <mergeCell ref="B12:B13"/>
    <mergeCell ref="C12:C13"/>
    <mergeCell ref="D12:D13"/>
    <mergeCell ref="E12:E13"/>
    <mergeCell ref="F12:F13"/>
    <mergeCell ref="A9:E10"/>
    <mergeCell ref="F9:M10"/>
    <mergeCell ref="A11:E11"/>
    <mergeCell ref="F11:M11"/>
    <mergeCell ref="A14:A15"/>
    <mergeCell ref="F14:F15"/>
    <mergeCell ref="G14:G15"/>
    <mergeCell ref="H14:H15"/>
    <mergeCell ref="I14:I15"/>
    <mergeCell ref="J14:J15"/>
    <mergeCell ref="K14:K15"/>
    <mergeCell ref="L14:L15"/>
    <mergeCell ref="M14:M15"/>
    <mergeCell ref="A16:E16"/>
    <mergeCell ref="F16:M16"/>
    <mergeCell ref="A17:A18"/>
    <mergeCell ref="B17:B18"/>
    <mergeCell ref="C17:C18"/>
    <mergeCell ref="D17:D18"/>
    <mergeCell ref="E17:E18"/>
    <mergeCell ref="F17:F18"/>
    <mergeCell ref="G17:G18"/>
    <mergeCell ref="H17:H18"/>
    <mergeCell ref="I17:I18"/>
    <mergeCell ref="J17:J18"/>
    <mergeCell ref="K17:K18"/>
    <mergeCell ref="L17:L18"/>
    <mergeCell ref="M17:M18"/>
    <mergeCell ref="A19:A20"/>
    <mergeCell ref="F19:F20"/>
    <mergeCell ref="G19:G20"/>
    <mergeCell ref="H19:H20"/>
    <mergeCell ref="I19:I20"/>
    <mergeCell ref="J19:J20"/>
    <mergeCell ref="K19:K20"/>
    <mergeCell ref="L19:L20"/>
    <mergeCell ref="M19:M20"/>
    <mergeCell ref="A21:A22"/>
    <mergeCell ref="F21:F22"/>
    <mergeCell ref="G21:G22"/>
    <mergeCell ref="H21:H22"/>
    <mergeCell ref="I21:I22"/>
    <mergeCell ref="J21:J22"/>
    <mergeCell ref="K21:K22"/>
    <mergeCell ref="L21:L22"/>
    <mergeCell ref="M21:M22"/>
    <mergeCell ref="A23:A24"/>
    <mergeCell ref="F23:F24"/>
    <mergeCell ref="G23:G24"/>
    <mergeCell ref="H23:H24"/>
    <mergeCell ref="I23:I24"/>
    <mergeCell ref="J23:J24"/>
    <mergeCell ref="K23:K24"/>
    <mergeCell ref="L23:L24"/>
    <mergeCell ref="M23:M24"/>
    <mergeCell ref="A25:A26"/>
    <mergeCell ref="F25:F26"/>
    <mergeCell ref="G25:G26"/>
    <mergeCell ref="H25:H26"/>
    <mergeCell ref="I25:I26"/>
    <mergeCell ref="J25:J26"/>
    <mergeCell ref="K25:K26"/>
    <mergeCell ref="L25:L26"/>
    <mergeCell ref="C30:C31"/>
    <mergeCell ref="D30:D31"/>
    <mergeCell ref="E30:E31"/>
    <mergeCell ref="F30:F31"/>
    <mergeCell ref="H30:H31"/>
    <mergeCell ref="I30:I31"/>
    <mergeCell ref="J30:J31"/>
    <mergeCell ref="K30:K31"/>
    <mergeCell ref="L30:L31"/>
    <mergeCell ref="A30:A31"/>
    <mergeCell ref="B30:B31"/>
    <mergeCell ref="A27:E28"/>
    <mergeCell ref="F27:M28"/>
    <mergeCell ref="A29:E29"/>
    <mergeCell ref="F29:M29"/>
    <mergeCell ref="M25:M26"/>
    <mergeCell ref="M30:M31"/>
    <mergeCell ref="A32:A33"/>
    <mergeCell ref="F32:F33"/>
    <mergeCell ref="G32:G33"/>
    <mergeCell ref="H32:H33"/>
    <mergeCell ref="I32:I33"/>
    <mergeCell ref="J32:J33"/>
    <mergeCell ref="K32:K33"/>
    <mergeCell ref="L32:L33"/>
    <mergeCell ref="M32:M33"/>
    <mergeCell ref="G30:G31"/>
    <mergeCell ref="N25:P25"/>
    <mergeCell ref="N26:P26"/>
    <mergeCell ref="M12:M13"/>
    <mergeCell ref="G12:G13"/>
    <mergeCell ref="H12:H13"/>
    <mergeCell ref="I12:I13"/>
    <mergeCell ref="J12:J13"/>
    <mergeCell ref="K12:K13"/>
    <mergeCell ref="L12:L13"/>
    <mergeCell ref="A37:A38"/>
    <mergeCell ref="F37:F38"/>
    <mergeCell ref="G37:G38"/>
    <mergeCell ref="H37:H38"/>
    <mergeCell ref="I37:I38"/>
    <mergeCell ref="A34:E34"/>
    <mergeCell ref="F34:M34"/>
    <mergeCell ref="A35:A36"/>
    <mergeCell ref="B35:B36"/>
    <mergeCell ref="J37:J38"/>
    <mergeCell ref="K37:K38"/>
    <mergeCell ref="L37:L38"/>
    <mergeCell ref="M37:M38"/>
    <mergeCell ref="C35:C36"/>
    <mergeCell ref="D35:D36"/>
    <mergeCell ref="E35:E36"/>
    <mergeCell ref="F35:F36"/>
    <mergeCell ref="G35:G36"/>
    <mergeCell ref="H35:H36"/>
    <mergeCell ref="I35:I36"/>
    <mergeCell ref="J35:J36"/>
    <mergeCell ref="K35:K36"/>
    <mergeCell ref="L35:L36"/>
    <mergeCell ref="M35:M36"/>
  </mergeCells>
  <phoneticPr fontId="1" type="noConversion"/>
  <conditionalFormatting sqref="J14">
    <cfRule type="cellIs" dxfId="279" priority="32" operator="lessThan">
      <formula>10</formula>
    </cfRule>
  </conditionalFormatting>
  <conditionalFormatting sqref="J14">
    <cfRule type="cellIs" dxfId="278" priority="31" operator="equal">
      <formula>-36</formula>
    </cfRule>
  </conditionalFormatting>
  <conditionalFormatting sqref="L14">
    <cfRule type="cellIs" dxfId="277" priority="30" operator="equal">
      <formula>"Fail"</formula>
    </cfRule>
  </conditionalFormatting>
  <conditionalFormatting sqref="L19">
    <cfRule type="cellIs" dxfId="276" priority="27" operator="equal">
      <formula>"Fail"</formula>
    </cfRule>
  </conditionalFormatting>
  <conditionalFormatting sqref="L21">
    <cfRule type="cellIs" dxfId="275" priority="26" operator="equal">
      <formula>"Fail"</formula>
    </cfRule>
  </conditionalFormatting>
  <conditionalFormatting sqref="L23">
    <cfRule type="cellIs" dxfId="274" priority="25" operator="equal">
      <formula>"Fail"</formula>
    </cfRule>
  </conditionalFormatting>
  <conditionalFormatting sqref="L25">
    <cfRule type="cellIs" dxfId="273" priority="24" operator="equal">
      <formula>"Fail"</formula>
    </cfRule>
  </conditionalFormatting>
  <conditionalFormatting sqref="V28">
    <cfRule type="cellIs" dxfId="272" priority="23" operator="equal">
      <formula>"Fail"</formula>
    </cfRule>
  </conditionalFormatting>
  <conditionalFormatting sqref="L14:L15 L19:L26">
    <cfRule type="cellIs" dxfId="271" priority="22" operator="equal">
      <formula>"Pass"</formula>
    </cfRule>
  </conditionalFormatting>
  <conditionalFormatting sqref="L32">
    <cfRule type="cellIs" dxfId="270" priority="21" operator="equal">
      <formula>"Fail"</formula>
    </cfRule>
  </conditionalFormatting>
  <conditionalFormatting sqref="L32:L33">
    <cfRule type="cellIs" dxfId="269" priority="20" operator="equal">
      <formula>"Pass"</formula>
    </cfRule>
  </conditionalFormatting>
  <conditionalFormatting sqref="L37">
    <cfRule type="cellIs" dxfId="268" priority="19" operator="equal">
      <formula>"Fail"</formula>
    </cfRule>
  </conditionalFormatting>
  <conditionalFormatting sqref="L37:L38">
    <cfRule type="cellIs" dxfId="267" priority="18" operator="equal">
      <formula>"Pass"</formula>
    </cfRule>
  </conditionalFormatting>
  <conditionalFormatting sqref="B14:D15">
    <cfRule type="top10" dxfId="266" priority="17" rank="1"/>
  </conditionalFormatting>
  <conditionalFormatting sqref="B19:D20">
    <cfRule type="top10" dxfId="265" priority="10" rank="1"/>
  </conditionalFormatting>
  <conditionalFormatting sqref="J19 J21 J23 J25">
    <cfRule type="expression" dxfId="264" priority="4">
      <formula>J19=-30</formula>
    </cfRule>
    <cfRule type="expression" dxfId="263" priority="5">
      <formula>AND(J19&lt;&gt;-30,J19&lt;=3)</formula>
    </cfRule>
    <cfRule type="expression" dxfId="262" priority="6">
      <formula>AND(J19&gt;3,J19&lt;10)</formula>
    </cfRule>
  </conditionalFormatting>
  <conditionalFormatting sqref="B21:D22">
    <cfRule type="top10" dxfId="261" priority="3" rank="1"/>
  </conditionalFormatting>
  <conditionalFormatting sqref="B23:D24">
    <cfRule type="top10" dxfId="260" priority="2" rank="1"/>
  </conditionalFormatting>
  <conditionalFormatting sqref="B25:D26">
    <cfRule type="top10" dxfId="259" priority="1" rank="1"/>
  </conditionalFormatting>
  <dataValidations disablePrompts="1" count="1">
    <dataValidation type="list" allowBlank="1" showInputMessage="1" showErrorMessage="1" sqref="M14 M25 M19 M21 M23 M37:M38 M32:M33" xr:uid="{69196CD2-1AEE-4A42-8FCB-9413B5D32A28}">
      <formula1>"Fundamental, Harmonic, Noise Floor, -"</formula1>
    </dataValidation>
  </dataValidations>
  <pageMargins left="0.7" right="0.7" top="0.75" bottom="0.75" header="0.3" footer="0.3"/>
  <pageSetup paperSize="9" scale="27" orientation="portrait" r:id="rId1"/>
  <colBreaks count="1" manualBreakCount="1">
    <brk id="13" max="37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E7CE3F-30B5-4F9E-A666-53DD8466C7D9}">
  <dimension ref="A1:P44"/>
  <sheetViews>
    <sheetView tabSelected="1" view="pageBreakPreview" zoomScale="85" zoomScaleNormal="100" zoomScaleSheetLayoutView="85" workbookViewId="0"/>
  </sheetViews>
  <sheetFormatPr defaultRowHeight="17.399999999999999" outlineLevelCol="1" x14ac:dyDescent="0.4"/>
  <cols>
    <col min="1" max="11" width="12.59765625" style="6" customWidth="1"/>
    <col min="12" max="13" width="12.59765625" style="6" hidden="1" customWidth="1" outlineLevel="1"/>
    <col min="14" max="14" width="12.59765625" style="6" customWidth="1" collapsed="1"/>
    <col min="15" max="16" width="12.59765625" style="6" customWidth="1"/>
    <col min="17" max="22" width="12.59765625" customWidth="1"/>
  </cols>
  <sheetData>
    <row r="1" spans="1:13" ht="20.100000000000001" customHeight="1" x14ac:dyDescent="0.4">
      <c r="A1" s="5" t="s">
        <v>14</v>
      </c>
      <c r="B1" s="188"/>
      <c r="C1" s="189"/>
      <c r="D1" s="190"/>
      <c r="E1" s="191" t="s">
        <v>35</v>
      </c>
      <c r="F1" s="192"/>
      <c r="G1" s="188" t="s">
        <v>36</v>
      </c>
      <c r="H1" s="189"/>
      <c r="I1" s="189"/>
      <c r="J1" s="189"/>
      <c r="K1" s="189"/>
      <c r="L1" s="189"/>
      <c r="M1" s="190"/>
    </row>
    <row r="2" spans="1:13" ht="20.100000000000001" customHeight="1" thickBot="1" x14ac:dyDescent="0.45">
      <c r="A2" s="18" t="s">
        <v>47</v>
      </c>
      <c r="B2" s="195"/>
      <c r="C2" s="196"/>
      <c r="D2" s="197"/>
      <c r="E2" s="193"/>
      <c r="F2" s="194"/>
      <c r="G2" s="195" t="s">
        <v>45</v>
      </c>
      <c r="H2" s="196"/>
      <c r="I2" s="196"/>
      <c r="J2" s="196"/>
      <c r="K2" s="196"/>
      <c r="L2" s="196"/>
      <c r="M2" s="197"/>
    </row>
    <row r="3" spans="1:13" ht="24.9" customHeight="1" x14ac:dyDescent="0.4">
      <c r="A3" s="198" t="s">
        <v>48</v>
      </c>
      <c r="B3" s="199"/>
      <c r="C3" s="199"/>
      <c r="D3" s="199"/>
      <c r="E3" s="199"/>
      <c r="F3" s="199"/>
      <c r="G3" s="199"/>
      <c r="H3" s="199"/>
      <c r="I3" s="199"/>
      <c r="J3" s="199"/>
      <c r="K3" s="199"/>
      <c r="L3" s="199"/>
      <c r="M3" s="200"/>
    </row>
    <row r="4" spans="1:13" ht="24.9" customHeight="1" thickBot="1" x14ac:dyDescent="0.45">
      <c r="A4" s="201"/>
      <c r="B4" s="202"/>
      <c r="C4" s="202"/>
      <c r="D4" s="202"/>
      <c r="E4" s="202"/>
      <c r="F4" s="202"/>
      <c r="G4" s="202"/>
      <c r="H4" s="202"/>
      <c r="I4" s="202"/>
      <c r="J4" s="202"/>
      <c r="K4" s="202"/>
      <c r="L4" s="202"/>
      <c r="M4" s="203"/>
    </row>
    <row r="5" spans="1:13" ht="24.9" customHeight="1" x14ac:dyDescent="0.4">
      <c r="A5" s="186" t="s">
        <v>20</v>
      </c>
      <c r="B5" s="278" t="s">
        <v>23</v>
      </c>
      <c r="C5" s="274" t="s">
        <v>25</v>
      </c>
      <c r="D5" s="274" t="s">
        <v>21</v>
      </c>
      <c r="E5" s="274" t="s">
        <v>22</v>
      </c>
      <c r="F5" s="274" t="s">
        <v>26</v>
      </c>
      <c r="G5" s="272" t="s">
        <v>38</v>
      </c>
      <c r="H5" s="274" t="s">
        <v>37</v>
      </c>
      <c r="I5" s="281" t="s">
        <v>39</v>
      </c>
      <c r="J5" s="207"/>
      <c r="K5" s="207"/>
      <c r="L5" s="207"/>
      <c r="M5" s="282"/>
    </row>
    <row r="6" spans="1:13" ht="20.100000000000001" customHeight="1" x14ac:dyDescent="0.4">
      <c r="A6" s="187"/>
      <c r="B6" s="279"/>
      <c r="C6" s="275"/>
      <c r="D6" s="275"/>
      <c r="E6" s="275"/>
      <c r="F6" s="275"/>
      <c r="G6" s="273"/>
      <c r="H6" s="275"/>
      <c r="I6" s="283"/>
      <c r="J6" s="284"/>
      <c r="K6" s="284"/>
      <c r="L6" s="284"/>
      <c r="M6" s="285"/>
    </row>
    <row r="7" spans="1:13" ht="20.100000000000001" customHeight="1" x14ac:dyDescent="0.4">
      <c r="A7" s="204" t="s">
        <v>24</v>
      </c>
      <c r="B7" s="276"/>
      <c r="C7" s="264"/>
      <c r="D7" s="264"/>
      <c r="E7" s="263"/>
      <c r="F7" s="263"/>
      <c r="G7" s="263">
        <v>15</v>
      </c>
      <c r="H7" s="264"/>
      <c r="I7" s="286"/>
      <c r="J7" s="287"/>
      <c r="K7" s="287"/>
      <c r="L7" s="287"/>
      <c r="M7" s="288"/>
    </row>
    <row r="8" spans="1:13" ht="20.100000000000001" customHeight="1" thickBot="1" x14ac:dyDescent="0.45">
      <c r="A8" s="205"/>
      <c r="B8" s="277"/>
      <c r="C8" s="265"/>
      <c r="D8" s="265"/>
      <c r="E8" s="264"/>
      <c r="F8" s="264"/>
      <c r="G8" s="264"/>
      <c r="H8" s="265"/>
      <c r="I8" s="289"/>
      <c r="J8" s="290"/>
      <c r="K8" s="290"/>
      <c r="L8" s="290"/>
      <c r="M8" s="291"/>
    </row>
    <row r="9" spans="1:13" ht="24.9" customHeight="1" x14ac:dyDescent="0.4">
      <c r="A9" s="266" t="s">
        <v>12</v>
      </c>
      <c r="B9" s="267"/>
      <c r="C9" s="267"/>
      <c r="D9" s="267"/>
      <c r="E9" s="268"/>
      <c r="F9" s="271" t="s">
        <v>40</v>
      </c>
      <c r="G9" s="267"/>
      <c r="H9" s="267"/>
      <c r="I9" s="267"/>
      <c r="J9" s="267"/>
      <c r="K9" s="267"/>
      <c r="L9" s="267"/>
      <c r="M9" s="268"/>
    </row>
    <row r="10" spans="1:13" ht="24.9" customHeight="1" x14ac:dyDescent="0.4">
      <c r="A10" s="269"/>
      <c r="B10" s="177"/>
      <c r="C10" s="177"/>
      <c r="D10" s="177"/>
      <c r="E10" s="270"/>
      <c r="F10" s="177"/>
      <c r="G10" s="177"/>
      <c r="H10" s="177"/>
      <c r="I10" s="177"/>
      <c r="J10" s="177"/>
      <c r="K10" s="177"/>
      <c r="L10" s="177"/>
      <c r="M10" s="270"/>
    </row>
    <row r="11" spans="1:13" ht="21.9" customHeight="1" thickBot="1" x14ac:dyDescent="0.45">
      <c r="A11" s="280" t="s">
        <v>6</v>
      </c>
      <c r="B11" s="256"/>
      <c r="C11" s="256"/>
      <c r="D11" s="256"/>
      <c r="E11" s="258"/>
      <c r="F11" s="256" t="str">
        <f>A11</f>
        <v>30M-1G</v>
      </c>
      <c r="G11" s="256"/>
      <c r="H11" s="256"/>
      <c r="I11" s="256"/>
      <c r="J11" s="59"/>
      <c r="K11" s="256"/>
      <c r="L11" s="256"/>
      <c r="M11" s="258"/>
    </row>
    <row r="12" spans="1:13" ht="21.9" customHeight="1" thickTop="1" x14ac:dyDescent="0.4">
      <c r="A12" s="60" t="s">
        <v>44</v>
      </c>
      <c r="B12" s="62" t="s">
        <v>4</v>
      </c>
      <c r="C12" s="62" t="s">
        <v>16</v>
      </c>
      <c r="D12" s="62" t="s">
        <v>3</v>
      </c>
      <c r="E12" s="98" t="s">
        <v>2</v>
      </c>
      <c r="F12" s="60" t="s">
        <v>44</v>
      </c>
      <c r="G12" s="100" t="s">
        <v>18</v>
      </c>
      <c r="H12" s="100" t="s">
        <v>30</v>
      </c>
      <c r="I12" s="72" t="s">
        <v>42</v>
      </c>
      <c r="J12" s="74" t="s">
        <v>43</v>
      </c>
      <c r="K12" s="146" t="s">
        <v>9</v>
      </c>
      <c r="L12" s="78" t="s">
        <v>19</v>
      </c>
      <c r="M12" s="80" t="s">
        <v>7</v>
      </c>
    </row>
    <row r="13" spans="1:13" ht="21.9" customHeight="1" x14ac:dyDescent="0.4">
      <c r="A13" s="61"/>
      <c r="B13" s="63"/>
      <c r="C13" s="63"/>
      <c r="D13" s="63"/>
      <c r="E13" s="99"/>
      <c r="F13" s="61"/>
      <c r="G13" s="101"/>
      <c r="H13" s="101"/>
      <c r="I13" s="73"/>
      <c r="J13" s="75"/>
      <c r="K13" s="147"/>
      <c r="L13" s="79"/>
      <c r="M13" s="81"/>
    </row>
    <row r="14" spans="1:13" ht="21.9" customHeight="1" x14ac:dyDescent="0.4">
      <c r="A14" s="159" t="s">
        <v>27</v>
      </c>
      <c r="B14" s="3"/>
      <c r="C14" s="3"/>
      <c r="D14" s="3"/>
      <c r="E14" s="11" t="s">
        <v>28</v>
      </c>
      <c r="F14" s="161" t="str">
        <f>A14</f>
        <v>Spurious</v>
      </c>
      <c r="G14" s="42" t="str">
        <f>IF(COUNT(B14:D14)=0, "H", IF(COUNT(B15:D15)=0, "V", IF(MAX(B14:D14) &gt;= MAX(B15:D15), "V", "H")))</f>
        <v>H</v>
      </c>
      <c r="H14" s="44">
        <f>MAX(B14:D15)</f>
        <v>0</v>
      </c>
      <c r="I14" s="120">
        <v>-36</v>
      </c>
      <c r="J14" s="134" t="str">
        <f>IF(OR(I14-H14&gt;10,I14-H14=-36),"No Peak Found",I14-H14)</f>
        <v>No Peak Found</v>
      </c>
      <c r="K14" s="136" t="s">
        <v>8</v>
      </c>
      <c r="L14" s="68" t="str">
        <f>IF(OR(COUNTIF(B14:D15, "-")+COUNTBLANK(B14:D15)=6), "Pass", IF(H14 &gt; I14, "Fail", IF(J14 &lt; 3, "Margin 부족", "Pass")))</f>
        <v>Pass</v>
      </c>
      <c r="M14" s="138" t="s">
        <v>11</v>
      </c>
    </row>
    <row r="15" spans="1:13" ht="21.9" customHeight="1" thickBot="1" x14ac:dyDescent="0.45">
      <c r="A15" s="160"/>
      <c r="B15" s="7"/>
      <c r="C15" s="7"/>
      <c r="D15" s="37"/>
      <c r="E15" s="12" t="s">
        <v>29</v>
      </c>
      <c r="F15" s="162"/>
      <c r="G15" s="163"/>
      <c r="H15" s="164"/>
      <c r="I15" s="165"/>
      <c r="J15" s="135"/>
      <c r="K15" s="166"/>
      <c r="L15" s="69"/>
      <c r="M15" s="167"/>
    </row>
    <row r="16" spans="1:13" ht="21.9" customHeight="1" thickBot="1" x14ac:dyDescent="0.45">
      <c r="A16" s="155" t="s">
        <v>32</v>
      </c>
      <c r="B16" s="156"/>
      <c r="C16" s="156"/>
      <c r="D16" s="156"/>
      <c r="E16" s="157"/>
      <c r="F16" s="156" t="str">
        <f>A16</f>
        <v>1 - 3G</v>
      </c>
      <c r="G16" s="156"/>
      <c r="H16" s="156"/>
      <c r="I16" s="156"/>
      <c r="J16" s="59"/>
      <c r="K16" s="156"/>
      <c r="L16" s="156"/>
      <c r="M16" s="156"/>
    </row>
    <row r="17" spans="1:16" ht="21.9" customHeight="1" thickTop="1" x14ac:dyDescent="0.4">
      <c r="A17" s="60" t="s">
        <v>44</v>
      </c>
      <c r="B17" s="62" t="s">
        <v>15</v>
      </c>
      <c r="C17" s="62" t="s">
        <v>16</v>
      </c>
      <c r="D17" s="62" t="s">
        <v>17</v>
      </c>
      <c r="E17" s="98" t="s">
        <v>18</v>
      </c>
      <c r="F17" s="60" t="s">
        <v>44</v>
      </c>
      <c r="G17" s="100" t="s">
        <v>18</v>
      </c>
      <c r="H17" s="100" t="s">
        <v>30</v>
      </c>
      <c r="I17" s="72" t="s">
        <v>42</v>
      </c>
      <c r="J17" s="74" t="s">
        <v>43</v>
      </c>
      <c r="K17" s="146" t="s">
        <v>9</v>
      </c>
      <c r="L17" s="78" t="s">
        <v>19</v>
      </c>
      <c r="M17" s="80" t="s">
        <v>7</v>
      </c>
    </row>
    <row r="18" spans="1:16" ht="21.9" customHeight="1" x14ac:dyDescent="0.4">
      <c r="A18" s="61"/>
      <c r="B18" s="63"/>
      <c r="C18" s="63"/>
      <c r="D18" s="63"/>
      <c r="E18" s="99"/>
      <c r="F18" s="61"/>
      <c r="G18" s="101"/>
      <c r="H18" s="101"/>
      <c r="I18" s="73"/>
      <c r="J18" s="75"/>
      <c r="K18" s="147"/>
      <c r="L18" s="79"/>
      <c r="M18" s="81"/>
    </row>
    <row r="19" spans="1:16" ht="21.9" customHeight="1" x14ac:dyDescent="0.4">
      <c r="A19" s="148" t="s">
        <v>27</v>
      </c>
      <c r="B19" s="3"/>
      <c r="C19" s="3"/>
      <c r="D19" s="3"/>
      <c r="E19" s="11" t="s">
        <v>28</v>
      </c>
      <c r="F19" s="150" t="str">
        <f>$A$19</f>
        <v>Spurious</v>
      </c>
      <c r="G19" s="42" t="str">
        <f>IF(COUNT(B19:D19)=0, "H", IF(COUNT(B20:D20)=0, "V", IF(MAX(B19:D19) &gt;= MAX(B20:D20), "V", "H")))</f>
        <v>H</v>
      </c>
      <c r="H19" s="44">
        <f>MAX(B19:D20)</f>
        <v>0</v>
      </c>
      <c r="I19" s="120">
        <v>-30</v>
      </c>
      <c r="J19" s="134" t="str">
        <f>IF(OR(I19-H19&gt;10,I19-H19=-30),"No Peak Found",I19-H19)</f>
        <v>No Peak Found</v>
      </c>
      <c r="K19" s="136" t="s">
        <v>8</v>
      </c>
      <c r="L19" s="68" t="str">
        <f>IF(OR(COUNTIF(B19:D20, "-")+COUNTBLANK(B19:D20)=6), "Pass", IF(H19 &gt; I19, "Fail", IF(J19 &lt; 3, "Margin 부족", "Pass")))</f>
        <v>Pass</v>
      </c>
      <c r="M19" s="138" t="s">
        <v>11</v>
      </c>
    </row>
    <row r="20" spans="1:16" ht="21.9" customHeight="1" thickBot="1" x14ac:dyDescent="0.45">
      <c r="A20" s="149"/>
      <c r="B20" s="7"/>
      <c r="C20" s="7"/>
      <c r="D20" s="7"/>
      <c r="E20" s="12" t="s">
        <v>29</v>
      </c>
      <c r="F20" s="151"/>
      <c r="G20" s="152"/>
      <c r="H20" s="153"/>
      <c r="I20" s="154"/>
      <c r="J20" s="135"/>
      <c r="K20" s="105"/>
      <c r="L20" s="137"/>
      <c r="M20" s="139"/>
    </row>
    <row r="21" spans="1:16" ht="21.9" customHeight="1" thickBot="1" x14ac:dyDescent="0.45">
      <c r="A21" s="140" t="s">
        <v>33</v>
      </c>
      <c r="B21" s="141"/>
      <c r="C21" s="141"/>
      <c r="D21" s="141"/>
      <c r="E21" s="141"/>
      <c r="F21" s="142" t="str">
        <f>A21</f>
        <v>3 - 12.75G - 2nd, 3rd, 4th, 5th</v>
      </c>
      <c r="G21" s="143"/>
      <c r="H21" s="143"/>
      <c r="I21" s="143"/>
      <c r="J21" s="59"/>
      <c r="K21" s="143"/>
      <c r="L21" s="144"/>
      <c r="M21" s="145"/>
    </row>
    <row r="22" spans="1:16" ht="21.9" customHeight="1" thickTop="1" x14ac:dyDescent="0.4">
      <c r="A22" s="128" t="s">
        <v>44</v>
      </c>
      <c r="B22" s="130" t="s">
        <v>15</v>
      </c>
      <c r="C22" s="130" t="s">
        <v>16</v>
      </c>
      <c r="D22" s="130" t="s">
        <v>17</v>
      </c>
      <c r="E22" s="132" t="s">
        <v>18</v>
      </c>
      <c r="F22" s="128" t="s">
        <v>44</v>
      </c>
      <c r="G22" s="122" t="s">
        <v>18</v>
      </c>
      <c r="H22" s="122" t="s">
        <v>30</v>
      </c>
      <c r="I22" s="123" t="s">
        <v>42</v>
      </c>
      <c r="J22" s="74" t="s">
        <v>43</v>
      </c>
      <c r="K22" s="124" t="s">
        <v>9</v>
      </c>
      <c r="L22" s="126" t="s">
        <v>19</v>
      </c>
      <c r="M22" s="118" t="s">
        <v>7</v>
      </c>
    </row>
    <row r="23" spans="1:16" ht="21.75" customHeight="1" x14ac:dyDescent="0.4">
      <c r="A23" s="129"/>
      <c r="B23" s="131"/>
      <c r="C23" s="131"/>
      <c r="D23" s="131"/>
      <c r="E23" s="133"/>
      <c r="F23" s="129"/>
      <c r="G23" s="101"/>
      <c r="H23" s="101"/>
      <c r="I23" s="73"/>
      <c r="J23" s="75"/>
      <c r="K23" s="125"/>
      <c r="L23" s="127"/>
      <c r="M23" s="119"/>
    </row>
    <row r="24" spans="1:16" ht="21.9" customHeight="1" x14ac:dyDescent="0.4">
      <c r="A24" s="102">
        <f>I7*2</f>
        <v>0</v>
      </c>
      <c r="B24" s="4"/>
      <c r="C24" s="4"/>
      <c r="D24" s="4"/>
      <c r="E24" s="13" t="s">
        <v>1</v>
      </c>
      <c r="F24" s="109">
        <f>$A$24</f>
        <v>0</v>
      </c>
      <c r="G24" s="42" t="str">
        <f>IF(COUNT(B24:D24)=0, "H", IF(COUNT(B25:D25)=0, "V", IF(MAX(B24:D24) &gt;= MAX(B25:D25), "V", "H")))</f>
        <v>H</v>
      </c>
      <c r="H24" s="44">
        <f>MAX(B24:D25)</f>
        <v>0</v>
      </c>
      <c r="I24" s="120">
        <v>-30</v>
      </c>
      <c r="J24" s="111" t="str">
        <f>IF(OR(I24-H24&gt;10,I24-H24=-30),"No Peak Found",I24-H24)</f>
        <v>No Peak Found</v>
      </c>
      <c r="K24" s="121" t="s">
        <v>8</v>
      </c>
      <c r="L24" s="105" t="str">
        <f>IF(OR(COUNTIF(B24:D25, "-")+COUNTBLANK(B24:D25)=6), "Pass", IF(H24 &gt; I24, "Fail", IF(J24 &lt; 3, "Margin 부족", "Pass")))</f>
        <v>Pass</v>
      </c>
      <c r="M24" s="38" t="s">
        <v>10</v>
      </c>
    </row>
    <row r="25" spans="1:16" ht="21.9" customHeight="1" x14ac:dyDescent="0.4">
      <c r="A25" s="108"/>
      <c r="B25" s="4"/>
      <c r="C25" s="4"/>
      <c r="D25" s="4"/>
      <c r="E25" s="13" t="s">
        <v>0</v>
      </c>
      <c r="F25" s="109"/>
      <c r="G25" s="42"/>
      <c r="H25" s="44"/>
      <c r="I25" s="120"/>
      <c r="J25" s="112"/>
      <c r="K25" s="121"/>
      <c r="L25" s="106"/>
      <c r="M25" s="107"/>
    </row>
    <row r="26" spans="1:16" ht="21.9" customHeight="1" x14ac:dyDescent="0.4">
      <c r="A26" s="102">
        <f>I7*3</f>
        <v>0</v>
      </c>
      <c r="B26" s="4"/>
      <c r="C26" s="4"/>
      <c r="D26" s="4"/>
      <c r="E26" s="13" t="s">
        <v>1</v>
      </c>
      <c r="F26" s="40">
        <f>$A$26</f>
        <v>0</v>
      </c>
      <c r="G26" s="42" t="str">
        <f>IF(COUNT(B26:D26)=0, "H", IF(COUNT(B27:D27)=0, "V", IF(MAX(B26:D26) &gt;= MAX(B27:D27), "V", "H")))</f>
        <v>H</v>
      </c>
      <c r="H26" s="44">
        <f>MAX(B26:D27)</f>
        <v>0</v>
      </c>
      <c r="I26" s="110">
        <v>-30</v>
      </c>
      <c r="J26" s="111" t="str">
        <f t="shared" ref="J26" si="0">IF(OR(I26-H26&gt;10,I26-H26=-30),"No Peak Found",I26-H26)</f>
        <v>No Peak Found</v>
      </c>
      <c r="K26" s="104" t="s">
        <v>8</v>
      </c>
      <c r="L26" s="105" t="str">
        <f>IF(OR(COUNTIF(B26:D27, "-")+COUNTBLANK(B26:D27)=6), "Pass", IF(H26 &gt; I26, "Fail", IF(J26 &lt; 3, "Margin 부족", "Pass")))</f>
        <v>Pass</v>
      </c>
      <c r="M26" s="38" t="s">
        <v>10</v>
      </c>
    </row>
    <row r="27" spans="1:16" ht="21.9" customHeight="1" x14ac:dyDescent="0.4">
      <c r="A27" s="108"/>
      <c r="B27" s="4"/>
      <c r="C27" s="4"/>
      <c r="D27" s="4"/>
      <c r="E27" s="13" t="s">
        <v>0</v>
      </c>
      <c r="F27" s="40"/>
      <c r="G27" s="42"/>
      <c r="H27" s="44"/>
      <c r="I27" s="110"/>
      <c r="J27" s="112"/>
      <c r="K27" s="104"/>
      <c r="L27" s="106"/>
      <c r="M27" s="107"/>
    </row>
    <row r="28" spans="1:16" ht="21.9" customHeight="1" x14ac:dyDescent="0.4">
      <c r="A28" s="102">
        <f>I7*4</f>
        <v>0</v>
      </c>
      <c r="B28" s="4"/>
      <c r="C28" s="4"/>
      <c r="D28" s="4"/>
      <c r="E28" s="13" t="s">
        <v>1</v>
      </c>
      <c r="F28" s="109">
        <f>$A$28</f>
        <v>0</v>
      </c>
      <c r="G28" s="42" t="str">
        <f>IF(COUNT(B28:D28)=0, "H", IF(COUNT(B29:D29)=0, "V", IF(MAX(B28:D28) &gt;= MAX(B29:D29), "V", "H")))</f>
        <v>H</v>
      </c>
      <c r="H28" s="44">
        <f>MAX(B28:D29)</f>
        <v>0</v>
      </c>
      <c r="I28" s="110">
        <v>-30</v>
      </c>
      <c r="J28" s="111" t="str">
        <f t="shared" ref="J28" si="1">IF(OR(I28-H28&gt;10,I28-H28=-30),"No Peak Found",I28-H28)</f>
        <v>No Peak Found</v>
      </c>
      <c r="K28" s="113" t="s">
        <v>8</v>
      </c>
      <c r="L28" s="105" t="str">
        <f>IF(OR(COUNTIF(B28:D29, "-")+COUNTBLANK(B28:D29)=6), "Pass", IF(H28 &gt; I28, "Fail", IF(J28 &lt; 3, "Margin 부족", "Pass")))</f>
        <v>Pass</v>
      </c>
      <c r="M28" s="38" t="s">
        <v>10</v>
      </c>
    </row>
    <row r="29" spans="1:16" ht="21.9" customHeight="1" x14ac:dyDescent="0.4">
      <c r="A29" s="108"/>
      <c r="B29" s="4"/>
      <c r="C29" s="4"/>
      <c r="D29" s="4"/>
      <c r="E29" s="13" t="s">
        <v>0</v>
      </c>
      <c r="F29" s="109"/>
      <c r="G29" s="42"/>
      <c r="H29" s="44"/>
      <c r="I29" s="110"/>
      <c r="J29" s="112"/>
      <c r="K29" s="113"/>
      <c r="L29" s="106"/>
      <c r="M29" s="107"/>
      <c r="N29" s="8" t="s">
        <v>7</v>
      </c>
    </row>
    <row r="30" spans="1:16" ht="21.9" customHeight="1" x14ac:dyDescent="0.4">
      <c r="A30" s="102">
        <f>I7*5</f>
        <v>0</v>
      </c>
      <c r="B30" s="4"/>
      <c r="C30" s="4"/>
      <c r="D30" s="4"/>
      <c r="E30" s="13" t="s">
        <v>1</v>
      </c>
      <c r="F30" s="40">
        <f>$A$30</f>
        <v>0</v>
      </c>
      <c r="G30" s="42" t="str">
        <f>IF(COUNT(B30:D30)=0, "H", IF(COUNT(B31:D31)=0, "V", IF(MAX(B30:D30) &gt;= MAX(B31:D31), "V", "H")))</f>
        <v>H</v>
      </c>
      <c r="H30" s="44">
        <f>MAX(B30:D31)</f>
        <v>0</v>
      </c>
      <c r="I30" s="110">
        <v>-30</v>
      </c>
      <c r="J30" s="111" t="str">
        <f t="shared" ref="J30" si="2">IF(OR(I30-H30&gt;10,I30-H30=-30),"No Peak Found",I30-H30)</f>
        <v>No Peak Found</v>
      </c>
      <c r="K30" s="113" t="s">
        <v>8</v>
      </c>
      <c r="L30" s="105" t="str">
        <f>IF(OR(COUNTIF(B30:D31, "-")+COUNTBLANK(B30:D31)=6), "Pass", IF(H30 &gt; I30, "Fail", IF(J30 &lt; 3, "Margin 부족", "Pass")))</f>
        <v>Pass</v>
      </c>
      <c r="M30" s="38" t="s">
        <v>10</v>
      </c>
      <c r="N30" s="82" t="str">
        <f>"1. LTE Band : " &amp; VALUE(RIGHT(A7, LEN(A7)-1))</f>
        <v>1. LTE Band : 1</v>
      </c>
      <c r="O30" s="83"/>
      <c r="P30" s="83"/>
    </row>
    <row r="31" spans="1:16" ht="21.9" customHeight="1" thickBot="1" x14ac:dyDescent="0.45">
      <c r="A31" s="103"/>
      <c r="B31" s="4"/>
      <c r="C31" s="4"/>
      <c r="D31" s="4"/>
      <c r="E31" s="14" t="s">
        <v>29</v>
      </c>
      <c r="F31" s="41"/>
      <c r="G31" s="43"/>
      <c r="H31" s="45"/>
      <c r="I31" s="114"/>
      <c r="J31" s="115"/>
      <c r="K31" s="116"/>
      <c r="L31" s="117"/>
      <c r="M31" s="39"/>
      <c r="N31" s="84" t="str">
        <f>"2. The test was performed the " &amp; H7 &amp; " antenna."</f>
        <v>2. The test was performed the  antenna.</v>
      </c>
      <c r="O31" s="85"/>
      <c r="P31" s="85"/>
    </row>
    <row r="32" spans="1:16" ht="24.9" customHeight="1" x14ac:dyDescent="0.4">
      <c r="A32" s="86" t="s">
        <v>13</v>
      </c>
      <c r="B32" s="87"/>
      <c r="C32" s="87"/>
      <c r="D32" s="87"/>
      <c r="E32" s="88"/>
      <c r="F32" s="90" t="s">
        <v>41</v>
      </c>
      <c r="G32" s="90"/>
      <c r="H32" s="90"/>
      <c r="I32" s="90"/>
      <c r="J32" s="90"/>
      <c r="K32" s="90"/>
      <c r="L32" s="90"/>
      <c r="M32" s="91"/>
    </row>
    <row r="33" spans="1:13" ht="24.9" customHeight="1" x14ac:dyDescent="0.4">
      <c r="A33" s="89"/>
      <c r="B33" s="87"/>
      <c r="C33" s="87"/>
      <c r="D33" s="87"/>
      <c r="E33" s="88"/>
      <c r="F33" s="92"/>
      <c r="G33" s="92"/>
      <c r="H33" s="92"/>
      <c r="I33" s="92"/>
      <c r="J33" s="92"/>
      <c r="K33" s="92"/>
      <c r="L33" s="92"/>
      <c r="M33" s="93"/>
    </row>
    <row r="34" spans="1:13" ht="21.9" customHeight="1" thickBot="1" x14ac:dyDescent="0.45">
      <c r="A34" s="94" t="s">
        <v>5</v>
      </c>
      <c r="B34" s="95"/>
      <c r="C34" s="95"/>
      <c r="D34" s="95"/>
      <c r="E34" s="96"/>
      <c r="F34" s="97" t="s">
        <v>5</v>
      </c>
      <c r="G34" s="97"/>
      <c r="H34" s="97"/>
      <c r="I34" s="97"/>
      <c r="J34" s="97"/>
      <c r="K34" s="97"/>
      <c r="L34" s="97"/>
      <c r="M34" s="97"/>
    </row>
    <row r="35" spans="1:13" ht="21.9" customHeight="1" thickTop="1" x14ac:dyDescent="0.4">
      <c r="A35" s="60" t="s">
        <v>44</v>
      </c>
      <c r="B35" s="62" t="s">
        <v>15</v>
      </c>
      <c r="C35" s="62" t="s">
        <v>16</v>
      </c>
      <c r="D35" s="62" t="s">
        <v>17</v>
      </c>
      <c r="E35" s="98" t="s">
        <v>18</v>
      </c>
      <c r="F35" s="60" t="s">
        <v>44</v>
      </c>
      <c r="G35" s="100" t="s">
        <v>18</v>
      </c>
      <c r="H35" s="100" t="s">
        <v>30</v>
      </c>
      <c r="I35" s="72" t="s">
        <v>42</v>
      </c>
      <c r="J35" s="74" t="s">
        <v>43</v>
      </c>
      <c r="K35" s="76" t="s">
        <v>9</v>
      </c>
      <c r="L35" s="78" t="s">
        <v>19</v>
      </c>
      <c r="M35" s="80" t="s">
        <v>7</v>
      </c>
    </row>
    <row r="36" spans="1:13" ht="21.9" customHeight="1" x14ac:dyDescent="0.4">
      <c r="A36" s="61"/>
      <c r="B36" s="63"/>
      <c r="C36" s="63"/>
      <c r="D36" s="63"/>
      <c r="E36" s="99"/>
      <c r="F36" s="61"/>
      <c r="G36" s="101"/>
      <c r="H36" s="101"/>
      <c r="I36" s="73"/>
      <c r="J36" s="75"/>
      <c r="K36" s="77"/>
      <c r="L36" s="79"/>
      <c r="M36" s="81"/>
    </row>
    <row r="37" spans="1:13" ht="21.9" customHeight="1" x14ac:dyDescent="0.4">
      <c r="A37" s="46" t="s">
        <v>27</v>
      </c>
      <c r="B37" s="10"/>
      <c r="C37" s="1"/>
      <c r="D37" s="1"/>
      <c r="E37" s="11" t="s">
        <v>28</v>
      </c>
      <c r="F37" s="48" t="str">
        <f>A37</f>
        <v>Spurious</v>
      </c>
      <c r="G37" s="50" t="str">
        <f>IF(COUNT(B37:D37)=0, "H", IF(COUNT(B38:D38)=0, "V", IF(MAX(B37:D37) &gt;= MAX(B38:D38), "V", "H")))</f>
        <v>H</v>
      </c>
      <c r="H37" s="52">
        <f>MAX(B37:D38)</f>
        <v>0</v>
      </c>
      <c r="I37" s="54">
        <v>-57</v>
      </c>
      <c r="J37" s="64" t="str">
        <f>IF(OR(I37-H37&gt;10,I37-H37=-57),"No Peak Found",I37-H37)</f>
        <v>No Peak Found</v>
      </c>
      <c r="K37" s="66" t="s">
        <v>8</v>
      </c>
      <c r="L37" s="68" t="str">
        <f>IF(OR(COUNTIF(B37:D38, "-")+COUNTBLANK(B37:D38)=6), "Pass", IF(H37 &gt; I37, "Fail", IF(J37 &lt; 3, "Margin 부족", "Pass")))</f>
        <v>Pass</v>
      </c>
      <c r="M37" s="70" t="s">
        <v>11</v>
      </c>
    </row>
    <row r="38" spans="1:13" ht="21.9" customHeight="1" thickBot="1" x14ac:dyDescent="0.45">
      <c r="A38" s="47"/>
      <c r="B38" s="2"/>
      <c r="C38" s="2"/>
      <c r="D38" s="2"/>
      <c r="E38" s="12" t="s">
        <v>29</v>
      </c>
      <c r="F38" s="49"/>
      <c r="G38" s="51"/>
      <c r="H38" s="53"/>
      <c r="I38" s="55"/>
      <c r="J38" s="65"/>
      <c r="K38" s="67"/>
      <c r="L38" s="69"/>
      <c r="M38" s="71"/>
    </row>
    <row r="39" spans="1:13" ht="21.9" customHeight="1" thickBot="1" x14ac:dyDescent="0.45">
      <c r="A39" s="56" t="s">
        <v>34</v>
      </c>
      <c r="B39" s="57"/>
      <c r="C39" s="57"/>
      <c r="D39" s="57"/>
      <c r="E39" s="58"/>
      <c r="F39" s="59" t="s">
        <v>34</v>
      </c>
      <c r="G39" s="59"/>
      <c r="H39" s="59"/>
      <c r="I39" s="59"/>
      <c r="J39" s="59"/>
      <c r="K39" s="59"/>
      <c r="L39" s="59"/>
      <c r="M39" s="59"/>
    </row>
    <row r="40" spans="1:13" ht="21.9" customHeight="1" thickTop="1" x14ac:dyDescent="0.4">
      <c r="A40" s="60" t="s">
        <v>44</v>
      </c>
      <c r="B40" s="62" t="s">
        <v>15</v>
      </c>
      <c r="C40" s="62" t="s">
        <v>16</v>
      </c>
      <c r="D40" s="62" t="s">
        <v>17</v>
      </c>
      <c r="E40" s="98" t="s">
        <v>18</v>
      </c>
      <c r="F40" s="60" t="s">
        <v>44</v>
      </c>
      <c r="G40" s="100" t="s">
        <v>18</v>
      </c>
      <c r="H40" s="100" t="s">
        <v>30</v>
      </c>
      <c r="I40" s="72" t="s">
        <v>42</v>
      </c>
      <c r="J40" s="74" t="s">
        <v>43</v>
      </c>
      <c r="K40" s="76" t="s">
        <v>9</v>
      </c>
      <c r="L40" s="78" t="s">
        <v>19</v>
      </c>
      <c r="M40" s="80" t="s">
        <v>7</v>
      </c>
    </row>
    <row r="41" spans="1:13" ht="21.9" customHeight="1" x14ac:dyDescent="0.4">
      <c r="A41" s="61"/>
      <c r="B41" s="63"/>
      <c r="C41" s="63"/>
      <c r="D41" s="63"/>
      <c r="E41" s="99"/>
      <c r="F41" s="61"/>
      <c r="G41" s="101"/>
      <c r="H41" s="101"/>
      <c r="I41" s="73"/>
      <c r="J41" s="75"/>
      <c r="K41" s="77"/>
      <c r="L41" s="79"/>
      <c r="M41" s="81"/>
    </row>
    <row r="42" spans="1:13" ht="21.9" customHeight="1" x14ac:dyDescent="0.4">
      <c r="A42" s="46" t="s">
        <v>27</v>
      </c>
      <c r="B42" s="10"/>
      <c r="C42" s="1"/>
      <c r="D42" s="1"/>
      <c r="E42" s="11" t="s">
        <v>28</v>
      </c>
      <c r="F42" s="48" t="str">
        <f>A42</f>
        <v>Spurious</v>
      </c>
      <c r="G42" s="50" t="str">
        <f>IF(COUNT(B42:D42)=0, "H", IF(COUNT(B43:D43)=0, "V", IF(MAX(B42:D42) &gt;= MAX(B43:D43), "V", "H")))</f>
        <v>H</v>
      </c>
      <c r="H42" s="52">
        <f>MAX(B42:D43)</f>
        <v>0</v>
      </c>
      <c r="I42" s="54">
        <v>-47</v>
      </c>
      <c r="J42" s="64" t="str">
        <f>IF(OR(I42-H42&gt;10,I42-H42=-47),"No Peak Found",I42-H42)</f>
        <v>No Peak Found</v>
      </c>
      <c r="K42" s="66" t="s">
        <v>8</v>
      </c>
      <c r="L42" s="68" t="str">
        <f>IF(OR(COUNTIF(B42:D43, "-")+COUNTBLANK(B42:D43)=6), "Pass", IF(H42 &gt; I42, "Fail", IF(J42 &lt; 3, "Margin 부족", "Pass")))</f>
        <v>Pass</v>
      </c>
      <c r="M42" s="70" t="s">
        <v>11</v>
      </c>
    </row>
    <row r="43" spans="1:13" ht="21.9" customHeight="1" thickBot="1" x14ac:dyDescent="0.45">
      <c r="A43" s="47"/>
      <c r="B43" s="2"/>
      <c r="C43" s="2"/>
      <c r="D43" s="2"/>
      <c r="E43" s="12" t="s">
        <v>29</v>
      </c>
      <c r="F43" s="49"/>
      <c r="G43" s="51"/>
      <c r="H43" s="53"/>
      <c r="I43" s="55"/>
      <c r="J43" s="65"/>
      <c r="K43" s="67"/>
      <c r="L43" s="69"/>
      <c r="M43" s="71"/>
    </row>
    <row r="44" spans="1:13" ht="21.9" customHeight="1" x14ac:dyDescent="0.4"/>
  </sheetData>
  <mergeCells count="177">
    <mergeCell ref="I5:M6"/>
    <mergeCell ref="I7:M8"/>
    <mergeCell ref="M40:M41"/>
    <mergeCell ref="A42:A43"/>
    <mergeCell ref="F42:F43"/>
    <mergeCell ref="G42:G43"/>
    <mergeCell ref="H42:H43"/>
    <mergeCell ref="I42:I43"/>
    <mergeCell ref="J42:J43"/>
    <mergeCell ref="K42:K43"/>
    <mergeCell ref="L42:L43"/>
    <mergeCell ref="M42:M43"/>
    <mergeCell ref="G40:G41"/>
    <mergeCell ref="H40:H41"/>
    <mergeCell ref="I40:I41"/>
    <mergeCell ref="J40:J41"/>
    <mergeCell ref="K40:K41"/>
    <mergeCell ref="L40:L41"/>
    <mergeCell ref="A40:A41"/>
    <mergeCell ref="B40:B41"/>
    <mergeCell ref="C40:C41"/>
    <mergeCell ref="D40:D41"/>
    <mergeCell ref="E40:E41"/>
    <mergeCell ref="F40:F41"/>
    <mergeCell ref="J37:J38"/>
    <mergeCell ref="K37:K38"/>
    <mergeCell ref="L37:L38"/>
    <mergeCell ref="M37:M38"/>
    <mergeCell ref="A39:E39"/>
    <mergeCell ref="F39:M39"/>
    <mergeCell ref="I35:I36"/>
    <mergeCell ref="J35:J36"/>
    <mergeCell ref="K35:K36"/>
    <mergeCell ref="L35:L36"/>
    <mergeCell ref="M35:M36"/>
    <mergeCell ref="A37:A38"/>
    <mergeCell ref="F37:F38"/>
    <mergeCell ref="G37:G38"/>
    <mergeCell ref="H37:H38"/>
    <mergeCell ref="I37:I38"/>
    <mergeCell ref="A34:E34"/>
    <mergeCell ref="F34:M34"/>
    <mergeCell ref="A35:A36"/>
    <mergeCell ref="B35:B36"/>
    <mergeCell ref="C35:C36"/>
    <mergeCell ref="D35:D36"/>
    <mergeCell ref="E35:E36"/>
    <mergeCell ref="F35:F36"/>
    <mergeCell ref="G35:G36"/>
    <mergeCell ref="H35:H36"/>
    <mergeCell ref="M30:M31"/>
    <mergeCell ref="N31:P31"/>
    <mergeCell ref="A32:E33"/>
    <mergeCell ref="F32:M33"/>
    <mergeCell ref="L28:L29"/>
    <mergeCell ref="M28:M29"/>
    <mergeCell ref="N30:P30"/>
    <mergeCell ref="A30:A31"/>
    <mergeCell ref="F30:F31"/>
    <mergeCell ref="G30:G31"/>
    <mergeCell ref="H30:H31"/>
    <mergeCell ref="I30:I31"/>
    <mergeCell ref="J30:J31"/>
    <mergeCell ref="A28:A29"/>
    <mergeCell ref="F28:F29"/>
    <mergeCell ref="G28:G29"/>
    <mergeCell ref="H28:H29"/>
    <mergeCell ref="I28:I29"/>
    <mergeCell ref="J28:J29"/>
    <mergeCell ref="K28:K29"/>
    <mergeCell ref="K30:K31"/>
    <mergeCell ref="L30:L31"/>
    <mergeCell ref="A26:A27"/>
    <mergeCell ref="F26:F27"/>
    <mergeCell ref="G26:G27"/>
    <mergeCell ref="H26:H27"/>
    <mergeCell ref="I26:I27"/>
    <mergeCell ref="J26:J27"/>
    <mergeCell ref="K26:K27"/>
    <mergeCell ref="L26:L27"/>
    <mergeCell ref="M26:M27"/>
    <mergeCell ref="A24:A25"/>
    <mergeCell ref="F24:F25"/>
    <mergeCell ref="G24:G25"/>
    <mergeCell ref="H24:H25"/>
    <mergeCell ref="I24:I25"/>
    <mergeCell ref="J24:J25"/>
    <mergeCell ref="K24:K25"/>
    <mergeCell ref="L24:L25"/>
    <mergeCell ref="M24:M25"/>
    <mergeCell ref="A21:E21"/>
    <mergeCell ref="F21:M21"/>
    <mergeCell ref="A22:A23"/>
    <mergeCell ref="B22:B23"/>
    <mergeCell ref="C22:C23"/>
    <mergeCell ref="D22:D23"/>
    <mergeCell ref="E22:E23"/>
    <mergeCell ref="F22:F23"/>
    <mergeCell ref="G22:G23"/>
    <mergeCell ref="H22:H23"/>
    <mergeCell ref="I22:I23"/>
    <mergeCell ref="J22:J23"/>
    <mergeCell ref="K22:K23"/>
    <mergeCell ref="L22:L23"/>
    <mergeCell ref="M22:M23"/>
    <mergeCell ref="A16:E16"/>
    <mergeCell ref="F16:M16"/>
    <mergeCell ref="A17:A18"/>
    <mergeCell ref="B17:B18"/>
    <mergeCell ref="C17:C18"/>
    <mergeCell ref="D17:D18"/>
    <mergeCell ref="E17:E18"/>
    <mergeCell ref="F17:F18"/>
    <mergeCell ref="A19:A20"/>
    <mergeCell ref="F19:F20"/>
    <mergeCell ref="G19:G20"/>
    <mergeCell ref="H19:H20"/>
    <mergeCell ref="I19:I20"/>
    <mergeCell ref="G17:G18"/>
    <mergeCell ref="H17:H18"/>
    <mergeCell ref="I17:I18"/>
    <mergeCell ref="J17:J18"/>
    <mergeCell ref="J19:J20"/>
    <mergeCell ref="K19:K20"/>
    <mergeCell ref="L19:L20"/>
    <mergeCell ref="M19:M20"/>
    <mergeCell ref="M17:M18"/>
    <mergeCell ref="K17:K18"/>
    <mergeCell ref="L17:L18"/>
    <mergeCell ref="K14:K15"/>
    <mergeCell ref="L14:L15"/>
    <mergeCell ref="M14:M15"/>
    <mergeCell ref="A14:A15"/>
    <mergeCell ref="F14:F15"/>
    <mergeCell ref="G14:G15"/>
    <mergeCell ref="H14:H15"/>
    <mergeCell ref="I14:I15"/>
    <mergeCell ref="J14:J15"/>
    <mergeCell ref="A11:E11"/>
    <mergeCell ref="F11:M11"/>
    <mergeCell ref="A12:A13"/>
    <mergeCell ref="B12:B13"/>
    <mergeCell ref="C12:C13"/>
    <mergeCell ref="D12:D13"/>
    <mergeCell ref="E12:E13"/>
    <mergeCell ref="F12:F13"/>
    <mergeCell ref="G12:G13"/>
    <mergeCell ref="H12:H13"/>
    <mergeCell ref="I12:I13"/>
    <mergeCell ref="J12:J13"/>
    <mergeCell ref="K12:K13"/>
    <mergeCell ref="L12:L13"/>
    <mergeCell ref="M12:M13"/>
    <mergeCell ref="B1:D1"/>
    <mergeCell ref="E1:F2"/>
    <mergeCell ref="G1:M1"/>
    <mergeCell ref="B2:D2"/>
    <mergeCell ref="G2:M2"/>
    <mergeCell ref="A3:M4"/>
    <mergeCell ref="G7:G8"/>
    <mergeCell ref="H7:H8"/>
    <mergeCell ref="A9:E10"/>
    <mergeCell ref="F9:M10"/>
    <mergeCell ref="G5:G6"/>
    <mergeCell ref="H5:H6"/>
    <mergeCell ref="A7:A8"/>
    <mergeCell ref="B7:B8"/>
    <mergeCell ref="C7:C8"/>
    <mergeCell ref="D7:D8"/>
    <mergeCell ref="E7:E8"/>
    <mergeCell ref="F7:F8"/>
    <mergeCell ref="A5:A6"/>
    <mergeCell ref="B5:B6"/>
    <mergeCell ref="C5:C6"/>
    <mergeCell ref="D5:D6"/>
    <mergeCell ref="E5:E6"/>
    <mergeCell ref="F5:F6"/>
  </mergeCells>
  <phoneticPr fontId="1" type="noConversion"/>
  <conditionalFormatting sqref="J14 J19">
    <cfRule type="cellIs" dxfId="258" priority="62" operator="lessThan">
      <formula>10</formula>
    </cfRule>
  </conditionalFormatting>
  <conditionalFormatting sqref="J14">
    <cfRule type="cellIs" dxfId="257" priority="61" operator="equal">
      <formula>-36</formula>
    </cfRule>
  </conditionalFormatting>
  <conditionalFormatting sqref="L14 L19">
    <cfRule type="cellIs" dxfId="256" priority="60" operator="equal">
      <formula>"Fail"</formula>
    </cfRule>
  </conditionalFormatting>
  <conditionalFormatting sqref="L24">
    <cfRule type="cellIs" dxfId="255" priority="57" operator="equal">
      <formula>"Fail"</formula>
    </cfRule>
  </conditionalFormatting>
  <conditionalFormatting sqref="L26">
    <cfRule type="cellIs" dxfId="254" priority="56" operator="equal">
      <formula>"Fail"</formula>
    </cfRule>
  </conditionalFormatting>
  <conditionalFormatting sqref="L28">
    <cfRule type="cellIs" dxfId="253" priority="55" operator="equal">
      <formula>"Fail"</formula>
    </cfRule>
  </conditionalFormatting>
  <conditionalFormatting sqref="L30">
    <cfRule type="cellIs" dxfId="252" priority="54" operator="equal">
      <formula>"Fail"</formula>
    </cfRule>
  </conditionalFormatting>
  <conditionalFormatting sqref="V33">
    <cfRule type="cellIs" dxfId="251" priority="53" operator="equal">
      <formula>"Fail"</formula>
    </cfRule>
  </conditionalFormatting>
  <conditionalFormatting sqref="L14:L15 L19:L20 L24:L31">
    <cfRule type="cellIs" dxfId="250" priority="52" operator="equal">
      <formula>"Pass"</formula>
    </cfRule>
  </conditionalFormatting>
  <conditionalFormatting sqref="L37">
    <cfRule type="cellIs" dxfId="249" priority="51" operator="equal">
      <formula>"Fail"</formula>
    </cfRule>
  </conditionalFormatting>
  <conditionalFormatting sqref="L37:L38">
    <cfRule type="cellIs" dxfId="248" priority="50" operator="equal">
      <formula>"Pass"</formula>
    </cfRule>
  </conditionalFormatting>
  <conditionalFormatting sqref="L42">
    <cfRule type="cellIs" dxfId="247" priority="49" operator="equal">
      <formula>"Fail"</formula>
    </cfRule>
  </conditionalFormatting>
  <conditionalFormatting sqref="L42:L43">
    <cfRule type="cellIs" dxfId="246" priority="48" operator="equal">
      <formula>"Pass"</formula>
    </cfRule>
  </conditionalFormatting>
  <conditionalFormatting sqref="B14:D15">
    <cfRule type="top10" dxfId="245" priority="41" rank="1"/>
  </conditionalFormatting>
  <conditionalFormatting sqref="B19:D20">
    <cfRule type="top10" dxfId="244" priority="40" rank="1"/>
  </conditionalFormatting>
  <conditionalFormatting sqref="B24:D25">
    <cfRule type="top10" dxfId="243" priority="11" rank="1"/>
  </conditionalFormatting>
  <conditionalFormatting sqref="J24 J26 J28 J30">
    <cfRule type="expression" dxfId="242" priority="5">
      <formula>J24=-30</formula>
    </cfRule>
    <cfRule type="expression" dxfId="241" priority="6">
      <formula>AND(J24&lt;&gt;-30,J24&lt;=3)</formula>
    </cfRule>
    <cfRule type="expression" dxfId="240" priority="7">
      <formula>AND(J24&gt;3,J24&lt;10)</formula>
    </cfRule>
  </conditionalFormatting>
  <conditionalFormatting sqref="B26:D27">
    <cfRule type="top10" dxfId="239" priority="4" rank="1"/>
  </conditionalFormatting>
  <conditionalFormatting sqref="B28:D29">
    <cfRule type="top10" dxfId="238" priority="2" rank="1"/>
  </conditionalFormatting>
  <conditionalFormatting sqref="B30:D31">
    <cfRule type="top10" dxfId="237" priority="1" rank="1"/>
  </conditionalFormatting>
  <dataValidations disablePrompts="1" count="1">
    <dataValidation type="list" allowBlank="1" showInputMessage="1" showErrorMessage="1" sqref="M14 M19 M30 M24 M26 M28 M42:M43 M37:M38" xr:uid="{7C8ADE80-EB7D-457F-8429-D9D4EA2C106B}">
      <formula1>"Fundamental, Harmonic, Noise Floor, -"</formula1>
    </dataValidation>
  </dataValidations>
  <pageMargins left="0.7" right="0.7" top="0.75" bottom="0.75" header="0.3" footer="0.3"/>
  <pageSetup paperSize="9" scale="27" orientation="portrait" r:id="rId1"/>
  <colBreaks count="1" manualBreakCount="1">
    <brk id="13" max="42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2C2C87-88B8-4654-A61C-F3C106CDE244}">
  <dimension ref="A1:P44"/>
  <sheetViews>
    <sheetView view="pageBreakPreview" zoomScale="85" zoomScaleNormal="100" zoomScaleSheetLayoutView="85" workbookViewId="0"/>
  </sheetViews>
  <sheetFormatPr defaultRowHeight="17.399999999999999" outlineLevelCol="1" x14ac:dyDescent="0.4"/>
  <cols>
    <col min="1" max="11" width="12.59765625" style="6" customWidth="1"/>
    <col min="12" max="13" width="12.59765625" style="6" hidden="1" customWidth="1" outlineLevel="1"/>
    <col min="14" max="14" width="12.59765625" style="6" customWidth="1" collapsed="1"/>
    <col min="15" max="16" width="12.59765625" style="6" customWidth="1"/>
    <col min="17" max="22" width="12.59765625" customWidth="1"/>
  </cols>
  <sheetData>
    <row r="1" spans="1:13" ht="20.100000000000001" customHeight="1" x14ac:dyDescent="0.4">
      <c r="A1" s="5" t="s">
        <v>14</v>
      </c>
      <c r="B1" s="188"/>
      <c r="C1" s="189"/>
      <c r="D1" s="190"/>
      <c r="E1" s="191" t="s">
        <v>35</v>
      </c>
      <c r="F1" s="192"/>
      <c r="G1" s="188" t="s">
        <v>36</v>
      </c>
      <c r="H1" s="189"/>
      <c r="I1" s="189"/>
      <c r="J1" s="189"/>
      <c r="K1" s="189"/>
      <c r="L1" s="189"/>
      <c r="M1" s="190"/>
    </row>
    <row r="2" spans="1:13" ht="20.100000000000001" customHeight="1" thickBot="1" x14ac:dyDescent="0.45">
      <c r="A2" s="18" t="s">
        <v>47</v>
      </c>
      <c r="B2" s="195"/>
      <c r="C2" s="196"/>
      <c r="D2" s="197"/>
      <c r="E2" s="193"/>
      <c r="F2" s="194"/>
      <c r="G2" s="195" t="s">
        <v>45</v>
      </c>
      <c r="H2" s="196"/>
      <c r="I2" s="196"/>
      <c r="J2" s="196"/>
      <c r="K2" s="196"/>
      <c r="L2" s="196"/>
      <c r="M2" s="197"/>
    </row>
    <row r="3" spans="1:13" ht="24.9" customHeight="1" x14ac:dyDescent="0.4">
      <c r="A3" s="198" t="s">
        <v>48</v>
      </c>
      <c r="B3" s="199"/>
      <c r="C3" s="199"/>
      <c r="D3" s="199"/>
      <c r="E3" s="199"/>
      <c r="F3" s="199"/>
      <c r="G3" s="199"/>
      <c r="H3" s="199"/>
      <c r="I3" s="199"/>
      <c r="J3" s="199"/>
      <c r="K3" s="199"/>
      <c r="L3" s="199"/>
      <c r="M3" s="200"/>
    </row>
    <row r="4" spans="1:13" ht="24.9" customHeight="1" thickBot="1" x14ac:dyDescent="0.45">
      <c r="A4" s="201"/>
      <c r="B4" s="202"/>
      <c r="C4" s="202"/>
      <c r="D4" s="202"/>
      <c r="E4" s="202"/>
      <c r="F4" s="202"/>
      <c r="G4" s="202"/>
      <c r="H4" s="202"/>
      <c r="I4" s="202"/>
      <c r="J4" s="202"/>
      <c r="K4" s="202"/>
      <c r="L4" s="202"/>
      <c r="M4" s="203"/>
    </row>
    <row r="5" spans="1:13" ht="24.9" customHeight="1" x14ac:dyDescent="0.4">
      <c r="A5" s="186" t="s">
        <v>20</v>
      </c>
      <c r="B5" s="278" t="s">
        <v>23</v>
      </c>
      <c r="C5" s="274" t="s">
        <v>25</v>
      </c>
      <c r="D5" s="274" t="s">
        <v>21</v>
      </c>
      <c r="E5" s="274" t="s">
        <v>22</v>
      </c>
      <c r="F5" s="274" t="s">
        <v>26</v>
      </c>
      <c r="G5" s="272" t="s">
        <v>38</v>
      </c>
      <c r="H5" s="274" t="s">
        <v>37</v>
      </c>
      <c r="I5" s="281" t="s">
        <v>39</v>
      </c>
      <c r="J5" s="207"/>
      <c r="K5" s="207"/>
      <c r="L5" s="207"/>
      <c r="M5" s="282"/>
    </row>
    <row r="6" spans="1:13" ht="20.100000000000001" customHeight="1" x14ac:dyDescent="0.4">
      <c r="A6" s="187"/>
      <c r="B6" s="279"/>
      <c r="C6" s="275"/>
      <c r="D6" s="275"/>
      <c r="E6" s="275"/>
      <c r="F6" s="275"/>
      <c r="G6" s="273"/>
      <c r="H6" s="275"/>
      <c r="I6" s="283"/>
      <c r="J6" s="284"/>
      <c r="K6" s="284"/>
      <c r="L6" s="284"/>
      <c r="M6" s="285"/>
    </row>
    <row r="7" spans="1:13" ht="20.100000000000001" customHeight="1" x14ac:dyDescent="0.4">
      <c r="A7" s="204" t="s">
        <v>57</v>
      </c>
      <c r="B7" s="276"/>
      <c r="C7" s="264"/>
      <c r="D7" s="264"/>
      <c r="E7" s="263"/>
      <c r="F7" s="263"/>
      <c r="G7" s="263">
        <v>15</v>
      </c>
      <c r="H7" s="264"/>
      <c r="I7" s="286"/>
      <c r="J7" s="287"/>
      <c r="K7" s="287"/>
      <c r="L7" s="287"/>
      <c r="M7" s="288"/>
    </row>
    <row r="8" spans="1:13" ht="20.100000000000001" customHeight="1" thickBot="1" x14ac:dyDescent="0.45">
      <c r="A8" s="205"/>
      <c r="B8" s="277"/>
      <c r="C8" s="265"/>
      <c r="D8" s="265"/>
      <c r="E8" s="264"/>
      <c r="F8" s="264"/>
      <c r="G8" s="264"/>
      <c r="H8" s="265"/>
      <c r="I8" s="289"/>
      <c r="J8" s="290"/>
      <c r="K8" s="290"/>
      <c r="L8" s="290"/>
      <c r="M8" s="291"/>
    </row>
    <row r="9" spans="1:13" ht="24.9" customHeight="1" x14ac:dyDescent="0.4">
      <c r="A9" s="266" t="s">
        <v>12</v>
      </c>
      <c r="B9" s="267"/>
      <c r="C9" s="267"/>
      <c r="D9" s="267"/>
      <c r="E9" s="268"/>
      <c r="F9" s="271" t="s">
        <v>40</v>
      </c>
      <c r="G9" s="267"/>
      <c r="H9" s="267"/>
      <c r="I9" s="267"/>
      <c r="J9" s="267"/>
      <c r="K9" s="267"/>
      <c r="L9" s="267"/>
      <c r="M9" s="268"/>
    </row>
    <row r="10" spans="1:13" ht="24.9" customHeight="1" x14ac:dyDescent="0.4">
      <c r="A10" s="269"/>
      <c r="B10" s="177"/>
      <c r="C10" s="177"/>
      <c r="D10" s="177"/>
      <c r="E10" s="270"/>
      <c r="F10" s="177"/>
      <c r="G10" s="177"/>
      <c r="H10" s="177"/>
      <c r="I10" s="177"/>
      <c r="J10" s="177"/>
      <c r="K10" s="177"/>
      <c r="L10" s="177"/>
      <c r="M10" s="270"/>
    </row>
    <row r="11" spans="1:13" ht="21.9" customHeight="1" thickBot="1" x14ac:dyDescent="0.45">
      <c r="A11" s="280" t="s">
        <v>6</v>
      </c>
      <c r="B11" s="256"/>
      <c r="C11" s="256"/>
      <c r="D11" s="256"/>
      <c r="E11" s="258"/>
      <c r="F11" s="256" t="str">
        <f>A11</f>
        <v>30M-1G</v>
      </c>
      <c r="G11" s="256"/>
      <c r="H11" s="256"/>
      <c r="I11" s="256"/>
      <c r="J11" s="59"/>
      <c r="K11" s="256"/>
      <c r="L11" s="256"/>
      <c r="M11" s="258"/>
    </row>
    <row r="12" spans="1:13" ht="21.9" customHeight="1" thickTop="1" x14ac:dyDescent="0.4">
      <c r="A12" s="60" t="s">
        <v>44</v>
      </c>
      <c r="B12" s="62" t="s">
        <v>4</v>
      </c>
      <c r="C12" s="62" t="s">
        <v>16</v>
      </c>
      <c r="D12" s="62" t="s">
        <v>3</v>
      </c>
      <c r="E12" s="98" t="s">
        <v>2</v>
      </c>
      <c r="F12" s="60" t="s">
        <v>44</v>
      </c>
      <c r="G12" s="100" t="s">
        <v>18</v>
      </c>
      <c r="H12" s="100" t="s">
        <v>30</v>
      </c>
      <c r="I12" s="72" t="s">
        <v>42</v>
      </c>
      <c r="J12" s="74" t="s">
        <v>43</v>
      </c>
      <c r="K12" s="146" t="s">
        <v>9</v>
      </c>
      <c r="L12" s="78" t="s">
        <v>19</v>
      </c>
      <c r="M12" s="80" t="s">
        <v>7</v>
      </c>
    </row>
    <row r="13" spans="1:13" ht="21.9" customHeight="1" x14ac:dyDescent="0.4">
      <c r="A13" s="61"/>
      <c r="B13" s="63"/>
      <c r="C13" s="63"/>
      <c r="D13" s="63"/>
      <c r="E13" s="99"/>
      <c r="F13" s="61"/>
      <c r="G13" s="101"/>
      <c r="H13" s="101"/>
      <c r="I13" s="73"/>
      <c r="J13" s="75"/>
      <c r="K13" s="147"/>
      <c r="L13" s="79"/>
      <c r="M13" s="81"/>
    </row>
    <row r="14" spans="1:13" ht="21.9" customHeight="1" x14ac:dyDescent="0.4">
      <c r="A14" s="159" t="s">
        <v>27</v>
      </c>
      <c r="B14" s="3"/>
      <c r="C14" s="3"/>
      <c r="D14" s="3"/>
      <c r="E14" s="11" t="s">
        <v>28</v>
      </c>
      <c r="F14" s="161" t="str">
        <f>A14</f>
        <v>Spurious</v>
      </c>
      <c r="G14" s="42" t="str">
        <f>IF(COUNT(B14:D14)=0, "H", IF(COUNT(B15:D15)=0, "V", IF(MAX(B14:D14) &gt;= MAX(B15:D15), "V", "H")))</f>
        <v>H</v>
      </c>
      <c r="H14" s="44">
        <f>MAX(B14:D15)</f>
        <v>0</v>
      </c>
      <c r="I14" s="120">
        <v>-36</v>
      </c>
      <c r="J14" s="134" t="str">
        <f>IF(OR(I14-H14&gt;10,I14-H14=-36),"No Peak Found",I14-H14)</f>
        <v>No Peak Found</v>
      </c>
      <c r="K14" s="136" t="s">
        <v>8</v>
      </c>
      <c r="L14" s="68" t="str">
        <f>IF(OR(COUNTIF(B14:D15, "-")+COUNTBLANK(B14:D15)=6), "Pass", IF(H14 &gt; I14, "Fail", IF(J14 &lt; 3, "Margin 부족", "Pass")))</f>
        <v>Pass</v>
      </c>
      <c r="M14" s="138" t="s">
        <v>11</v>
      </c>
    </row>
    <row r="15" spans="1:13" ht="21.9" customHeight="1" thickBot="1" x14ac:dyDescent="0.45">
      <c r="A15" s="160"/>
      <c r="B15" s="7"/>
      <c r="C15" s="7"/>
      <c r="D15" s="37"/>
      <c r="E15" s="12" t="s">
        <v>29</v>
      </c>
      <c r="F15" s="162"/>
      <c r="G15" s="163"/>
      <c r="H15" s="164"/>
      <c r="I15" s="165"/>
      <c r="J15" s="135"/>
      <c r="K15" s="166"/>
      <c r="L15" s="69"/>
      <c r="M15" s="167"/>
    </row>
    <row r="16" spans="1:13" ht="21.9" customHeight="1" thickBot="1" x14ac:dyDescent="0.45">
      <c r="A16" s="155" t="s">
        <v>32</v>
      </c>
      <c r="B16" s="156"/>
      <c r="C16" s="156"/>
      <c r="D16" s="156"/>
      <c r="E16" s="157"/>
      <c r="F16" s="156" t="str">
        <f>A16</f>
        <v>1 - 3G</v>
      </c>
      <c r="G16" s="156"/>
      <c r="H16" s="156"/>
      <c r="I16" s="156"/>
      <c r="J16" s="59"/>
      <c r="K16" s="156"/>
      <c r="L16" s="156"/>
      <c r="M16" s="156"/>
    </row>
    <row r="17" spans="1:16" ht="21.9" customHeight="1" thickTop="1" x14ac:dyDescent="0.4">
      <c r="A17" s="60" t="s">
        <v>44</v>
      </c>
      <c r="B17" s="62" t="s">
        <v>15</v>
      </c>
      <c r="C17" s="62" t="s">
        <v>16</v>
      </c>
      <c r="D17" s="62" t="s">
        <v>17</v>
      </c>
      <c r="E17" s="98" t="s">
        <v>18</v>
      </c>
      <c r="F17" s="60" t="s">
        <v>44</v>
      </c>
      <c r="G17" s="100" t="s">
        <v>18</v>
      </c>
      <c r="H17" s="100" t="s">
        <v>30</v>
      </c>
      <c r="I17" s="72" t="s">
        <v>42</v>
      </c>
      <c r="J17" s="74" t="s">
        <v>43</v>
      </c>
      <c r="K17" s="146" t="s">
        <v>9</v>
      </c>
      <c r="L17" s="78" t="s">
        <v>19</v>
      </c>
      <c r="M17" s="80" t="s">
        <v>7</v>
      </c>
    </row>
    <row r="18" spans="1:16" ht="21.9" customHeight="1" x14ac:dyDescent="0.4">
      <c r="A18" s="61"/>
      <c r="B18" s="63"/>
      <c r="C18" s="63"/>
      <c r="D18" s="63"/>
      <c r="E18" s="99"/>
      <c r="F18" s="61"/>
      <c r="G18" s="101"/>
      <c r="H18" s="101"/>
      <c r="I18" s="73"/>
      <c r="J18" s="75"/>
      <c r="K18" s="147"/>
      <c r="L18" s="79"/>
      <c r="M18" s="81"/>
    </row>
    <row r="19" spans="1:16" ht="21.9" customHeight="1" x14ac:dyDescent="0.4">
      <c r="A19" s="148" t="s">
        <v>27</v>
      </c>
      <c r="B19" s="3"/>
      <c r="C19" s="3"/>
      <c r="D19" s="3"/>
      <c r="E19" s="11" t="s">
        <v>28</v>
      </c>
      <c r="F19" s="150" t="str">
        <f>$A$19</f>
        <v>Spurious</v>
      </c>
      <c r="G19" s="42" t="str">
        <f>IF(COUNT(B19:D19)=0, "H", IF(COUNT(B20:D20)=0, "V", IF(MAX(B19:D19) &gt;= MAX(B20:D20), "V", "H")))</f>
        <v>H</v>
      </c>
      <c r="H19" s="44">
        <f>MAX(B19:D20)</f>
        <v>0</v>
      </c>
      <c r="I19" s="120">
        <v>-30</v>
      </c>
      <c r="J19" s="134" t="str">
        <f>IF(OR(I19-H19&gt;10,I19-H19=-30),"No Peak Found",I19-H19)</f>
        <v>No Peak Found</v>
      </c>
      <c r="K19" s="136" t="s">
        <v>8</v>
      </c>
      <c r="L19" s="68" t="str">
        <f>IF(OR(COUNTIF(B19:D20, "-")+COUNTBLANK(B19:D20)=6), "Pass", IF(H19 &gt; I19, "Fail", IF(J19 &lt; 3, "Margin 부족", "Pass")))</f>
        <v>Pass</v>
      </c>
      <c r="M19" s="138" t="s">
        <v>11</v>
      </c>
    </row>
    <row r="20" spans="1:16" ht="21.9" customHeight="1" thickBot="1" x14ac:dyDescent="0.45">
      <c r="A20" s="149"/>
      <c r="B20" s="7"/>
      <c r="C20" s="7"/>
      <c r="D20" s="7"/>
      <c r="E20" s="12" t="s">
        <v>29</v>
      </c>
      <c r="F20" s="151"/>
      <c r="G20" s="152"/>
      <c r="H20" s="153"/>
      <c r="I20" s="154"/>
      <c r="J20" s="135"/>
      <c r="K20" s="105"/>
      <c r="L20" s="137"/>
      <c r="M20" s="139"/>
    </row>
    <row r="21" spans="1:16" ht="21.9" customHeight="1" thickBot="1" x14ac:dyDescent="0.45">
      <c r="A21" s="140" t="s">
        <v>33</v>
      </c>
      <c r="B21" s="141"/>
      <c r="C21" s="141"/>
      <c r="D21" s="141"/>
      <c r="E21" s="141"/>
      <c r="F21" s="142" t="str">
        <f>A21</f>
        <v>3 - 12.75G - 2nd, 3rd, 4th, 5th</v>
      </c>
      <c r="G21" s="143"/>
      <c r="H21" s="143"/>
      <c r="I21" s="143"/>
      <c r="J21" s="59"/>
      <c r="K21" s="143"/>
      <c r="L21" s="144"/>
      <c r="M21" s="145"/>
    </row>
    <row r="22" spans="1:16" ht="21.9" customHeight="1" thickTop="1" x14ac:dyDescent="0.4">
      <c r="A22" s="128" t="s">
        <v>44</v>
      </c>
      <c r="B22" s="130" t="s">
        <v>15</v>
      </c>
      <c r="C22" s="130" t="s">
        <v>16</v>
      </c>
      <c r="D22" s="130" t="s">
        <v>17</v>
      </c>
      <c r="E22" s="132" t="s">
        <v>18</v>
      </c>
      <c r="F22" s="128" t="s">
        <v>44</v>
      </c>
      <c r="G22" s="122" t="s">
        <v>18</v>
      </c>
      <c r="H22" s="122" t="s">
        <v>30</v>
      </c>
      <c r="I22" s="123" t="s">
        <v>42</v>
      </c>
      <c r="J22" s="74" t="s">
        <v>43</v>
      </c>
      <c r="K22" s="124" t="s">
        <v>9</v>
      </c>
      <c r="L22" s="126" t="s">
        <v>19</v>
      </c>
      <c r="M22" s="118" t="s">
        <v>7</v>
      </c>
    </row>
    <row r="23" spans="1:16" ht="21.75" customHeight="1" x14ac:dyDescent="0.4">
      <c r="A23" s="129"/>
      <c r="B23" s="131"/>
      <c r="C23" s="131"/>
      <c r="D23" s="131"/>
      <c r="E23" s="133"/>
      <c r="F23" s="129"/>
      <c r="G23" s="101"/>
      <c r="H23" s="101"/>
      <c r="I23" s="73"/>
      <c r="J23" s="75"/>
      <c r="K23" s="125"/>
      <c r="L23" s="127"/>
      <c r="M23" s="119"/>
    </row>
    <row r="24" spans="1:16" ht="21.9" customHeight="1" x14ac:dyDescent="0.4">
      <c r="A24" s="102">
        <f>I7*2</f>
        <v>0</v>
      </c>
      <c r="B24" s="4"/>
      <c r="C24" s="4"/>
      <c r="D24" s="4"/>
      <c r="E24" s="13" t="s">
        <v>1</v>
      </c>
      <c r="F24" s="109">
        <f>$A$24</f>
        <v>0</v>
      </c>
      <c r="G24" s="42" t="str">
        <f>IF(COUNT(B24:D24)=0, "H", IF(COUNT(B25:D25)=0, "V", IF(MAX(B24:D24) &gt;= MAX(B25:D25), "V", "H")))</f>
        <v>H</v>
      </c>
      <c r="H24" s="44">
        <f>MAX(B24:D25)</f>
        <v>0</v>
      </c>
      <c r="I24" s="120">
        <v>-30</v>
      </c>
      <c r="J24" s="111" t="str">
        <f>IF(OR(I24-H24&gt;10,I24-H24=-30),"No Peak Found",I24-H24)</f>
        <v>No Peak Found</v>
      </c>
      <c r="K24" s="121" t="s">
        <v>8</v>
      </c>
      <c r="L24" s="105" t="str">
        <f>IF(OR(COUNTIF(B24:D25, "-")+COUNTBLANK(B24:D25)=6), "Pass", IF(H24 &gt; I24, "Fail", IF(J24 &lt; 3, "Margin 부족", "Pass")))</f>
        <v>Pass</v>
      </c>
      <c r="M24" s="38" t="s">
        <v>10</v>
      </c>
    </row>
    <row r="25" spans="1:16" ht="21.9" customHeight="1" x14ac:dyDescent="0.4">
      <c r="A25" s="108"/>
      <c r="B25" s="4"/>
      <c r="C25" s="4"/>
      <c r="D25" s="4"/>
      <c r="E25" s="13" t="s">
        <v>0</v>
      </c>
      <c r="F25" s="109"/>
      <c r="G25" s="42"/>
      <c r="H25" s="44"/>
      <c r="I25" s="120"/>
      <c r="J25" s="112"/>
      <c r="K25" s="121"/>
      <c r="L25" s="106"/>
      <c r="M25" s="107"/>
    </row>
    <row r="26" spans="1:16" ht="21.9" customHeight="1" x14ac:dyDescent="0.4">
      <c r="A26" s="102">
        <f>I7*3</f>
        <v>0</v>
      </c>
      <c r="B26" s="4"/>
      <c r="C26" s="4"/>
      <c r="D26" s="4"/>
      <c r="E26" s="13" t="s">
        <v>1</v>
      </c>
      <c r="F26" s="40">
        <f>$A$26</f>
        <v>0</v>
      </c>
      <c r="G26" s="42" t="str">
        <f>IF(COUNT(B26:D26)=0, "H", IF(COUNT(B27:D27)=0, "V", IF(MAX(B26:D26) &gt;= MAX(B27:D27), "V", "H")))</f>
        <v>H</v>
      </c>
      <c r="H26" s="44">
        <f>MAX(B26:D27)</f>
        <v>0</v>
      </c>
      <c r="I26" s="110">
        <v>-30</v>
      </c>
      <c r="J26" s="111" t="str">
        <f t="shared" ref="J26" si="0">IF(OR(I26-H26&gt;10,I26-H26=-30),"No Peak Found",I26-H26)</f>
        <v>No Peak Found</v>
      </c>
      <c r="K26" s="104" t="s">
        <v>8</v>
      </c>
      <c r="L26" s="105" t="str">
        <f>IF(OR(COUNTIF(B26:D27, "-")+COUNTBLANK(B26:D27)=6), "Pass", IF(H26 &gt; I26, "Fail", IF(J26 &lt; 3, "Margin 부족", "Pass")))</f>
        <v>Pass</v>
      </c>
      <c r="M26" s="38" t="s">
        <v>10</v>
      </c>
    </row>
    <row r="27" spans="1:16" ht="21.9" customHeight="1" x14ac:dyDescent="0.4">
      <c r="A27" s="108"/>
      <c r="B27" s="4"/>
      <c r="C27" s="4"/>
      <c r="D27" s="4"/>
      <c r="E27" s="13" t="s">
        <v>0</v>
      </c>
      <c r="F27" s="40"/>
      <c r="G27" s="42"/>
      <c r="H27" s="44"/>
      <c r="I27" s="110"/>
      <c r="J27" s="112"/>
      <c r="K27" s="104"/>
      <c r="L27" s="106"/>
      <c r="M27" s="107"/>
    </row>
    <row r="28" spans="1:16" ht="21.9" customHeight="1" x14ac:dyDescent="0.4">
      <c r="A28" s="102">
        <f>I7*4</f>
        <v>0</v>
      </c>
      <c r="B28" s="4"/>
      <c r="C28" s="4"/>
      <c r="D28" s="4"/>
      <c r="E28" s="13" t="s">
        <v>1</v>
      </c>
      <c r="F28" s="109">
        <f>$A$28</f>
        <v>0</v>
      </c>
      <c r="G28" s="42" t="str">
        <f>IF(COUNT(B28:D28)=0, "H", IF(COUNT(B29:D29)=0, "V", IF(MAX(B28:D28) &gt;= MAX(B29:D29), "V", "H")))</f>
        <v>H</v>
      </c>
      <c r="H28" s="44">
        <f>MAX(B28:D29)</f>
        <v>0</v>
      </c>
      <c r="I28" s="110">
        <v>-30</v>
      </c>
      <c r="J28" s="111" t="str">
        <f t="shared" ref="J28" si="1">IF(OR(I28-H28&gt;10,I28-H28=-30),"No Peak Found",I28-H28)</f>
        <v>No Peak Found</v>
      </c>
      <c r="K28" s="113" t="s">
        <v>8</v>
      </c>
      <c r="L28" s="105" t="str">
        <f>IF(OR(COUNTIF(B28:D29, "-")+COUNTBLANK(B28:D29)=6), "Pass", IF(H28 &gt; I28, "Fail", IF(J28 &lt; 3, "Margin 부족", "Pass")))</f>
        <v>Pass</v>
      </c>
      <c r="M28" s="38" t="s">
        <v>10</v>
      </c>
    </row>
    <row r="29" spans="1:16" ht="21.9" customHeight="1" x14ac:dyDescent="0.4">
      <c r="A29" s="108"/>
      <c r="B29" s="4"/>
      <c r="C29" s="4"/>
      <c r="D29" s="4"/>
      <c r="E29" s="13" t="s">
        <v>0</v>
      </c>
      <c r="F29" s="109"/>
      <c r="G29" s="42"/>
      <c r="H29" s="44"/>
      <c r="I29" s="110"/>
      <c r="J29" s="112"/>
      <c r="K29" s="113"/>
      <c r="L29" s="106"/>
      <c r="M29" s="107"/>
      <c r="N29" s="8" t="s">
        <v>7</v>
      </c>
    </row>
    <row r="30" spans="1:16" ht="21.9" customHeight="1" x14ac:dyDescent="0.4">
      <c r="A30" s="102">
        <f>I7*5</f>
        <v>0</v>
      </c>
      <c r="B30" s="4"/>
      <c r="C30" s="4"/>
      <c r="D30" s="4"/>
      <c r="E30" s="13" t="s">
        <v>1</v>
      </c>
      <c r="F30" s="40">
        <f>$A$30</f>
        <v>0</v>
      </c>
      <c r="G30" s="42" t="str">
        <f>IF(COUNT(B30:D30)=0, "H", IF(COUNT(B31:D31)=0, "V", IF(MAX(B30:D30) &gt;= MAX(B31:D31), "V", "H")))</f>
        <v>H</v>
      </c>
      <c r="H30" s="44">
        <f>MAX(B30:D31)</f>
        <v>0</v>
      </c>
      <c r="I30" s="110">
        <v>-30</v>
      </c>
      <c r="J30" s="111" t="str">
        <f t="shared" ref="J30" si="2">IF(OR(I30-H30&gt;10,I30-H30=-30),"No Peak Found",I30-H30)</f>
        <v>No Peak Found</v>
      </c>
      <c r="K30" s="113" t="s">
        <v>8</v>
      </c>
      <c r="L30" s="105" t="str">
        <f>IF(OR(COUNTIF(B30:D31, "-")+COUNTBLANK(B30:D31)=6), "Pass", IF(H30 &gt; I30, "Fail", IF(J30 &lt; 3, "Margin 부족", "Pass")))</f>
        <v>Pass</v>
      </c>
      <c r="M30" s="38" t="s">
        <v>10</v>
      </c>
      <c r="N30" s="82" t="str">
        <f>"1. LTE Band : " &amp; VALUE(RIGHT(A7, LEN(A7)-1))</f>
        <v>1. LTE Band : 3</v>
      </c>
      <c r="O30" s="83"/>
      <c r="P30" s="83"/>
    </row>
    <row r="31" spans="1:16" ht="21.9" customHeight="1" thickBot="1" x14ac:dyDescent="0.45">
      <c r="A31" s="103"/>
      <c r="B31" s="4"/>
      <c r="C31" s="4"/>
      <c r="D31" s="4"/>
      <c r="E31" s="14" t="s">
        <v>29</v>
      </c>
      <c r="F31" s="41"/>
      <c r="G31" s="43"/>
      <c r="H31" s="45"/>
      <c r="I31" s="114"/>
      <c r="J31" s="115"/>
      <c r="K31" s="116"/>
      <c r="L31" s="117"/>
      <c r="M31" s="39"/>
      <c r="N31" s="84" t="str">
        <f>"2. The test was performed the " &amp; H7 &amp; " antenna."</f>
        <v>2. The test was performed the  antenna.</v>
      </c>
      <c r="O31" s="85"/>
      <c r="P31" s="85"/>
    </row>
    <row r="32" spans="1:16" ht="24.9" customHeight="1" x14ac:dyDescent="0.4">
      <c r="A32" s="86" t="s">
        <v>13</v>
      </c>
      <c r="B32" s="87"/>
      <c r="C32" s="87"/>
      <c r="D32" s="87"/>
      <c r="E32" s="88"/>
      <c r="F32" s="90" t="s">
        <v>41</v>
      </c>
      <c r="G32" s="90"/>
      <c r="H32" s="90"/>
      <c r="I32" s="90"/>
      <c r="J32" s="90"/>
      <c r="K32" s="90"/>
      <c r="L32" s="90"/>
      <c r="M32" s="91"/>
    </row>
    <row r="33" spans="1:13" ht="24.9" customHeight="1" x14ac:dyDescent="0.4">
      <c r="A33" s="89"/>
      <c r="B33" s="87"/>
      <c r="C33" s="87"/>
      <c r="D33" s="87"/>
      <c r="E33" s="88"/>
      <c r="F33" s="92"/>
      <c r="G33" s="92"/>
      <c r="H33" s="92"/>
      <c r="I33" s="92"/>
      <c r="J33" s="92"/>
      <c r="K33" s="92"/>
      <c r="L33" s="92"/>
      <c r="M33" s="93"/>
    </row>
    <row r="34" spans="1:13" ht="21.9" customHeight="1" thickBot="1" x14ac:dyDescent="0.45">
      <c r="A34" s="94" t="s">
        <v>5</v>
      </c>
      <c r="B34" s="95"/>
      <c r="C34" s="95"/>
      <c r="D34" s="95"/>
      <c r="E34" s="96"/>
      <c r="F34" s="97" t="s">
        <v>5</v>
      </c>
      <c r="G34" s="97"/>
      <c r="H34" s="97"/>
      <c r="I34" s="97"/>
      <c r="J34" s="97"/>
      <c r="K34" s="97"/>
      <c r="L34" s="97"/>
      <c r="M34" s="97"/>
    </row>
    <row r="35" spans="1:13" ht="21.9" customHeight="1" thickTop="1" x14ac:dyDescent="0.4">
      <c r="A35" s="60" t="s">
        <v>44</v>
      </c>
      <c r="B35" s="62" t="s">
        <v>15</v>
      </c>
      <c r="C35" s="62" t="s">
        <v>16</v>
      </c>
      <c r="D35" s="62" t="s">
        <v>17</v>
      </c>
      <c r="E35" s="98" t="s">
        <v>18</v>
      </c>
      <c r="F35" s="60" t="s">
        <v>44</v>
      </c>
      <c r="G35" s="100" t="s">
        <v>18</v>
      </c>
      <c r="H35" s="100" t="s">
        <v>30</v>
      </c>
      <c r="I35" s="72" t="s">
        <v>42</v>
      </c>
      <c r="J35" s="74" t="s">
        <v>43</v>
      </c>
      <c r="K35" s="76" t="s">
        <v>9</v>
      </c>
      <c r="L35" s="78" t="s">
        <v>19</v>
      </c>
      <c r="M35" s="80" t="s">
        <v>7</v>
      </c>
    </row>
    <row r="36" spans="1:13" ht="21.9" customHeight="1" x14ac:dyDescent="0.4">
      <c r="A36" s="61"/>
      <c r="B36" s="63"/>
      <c r="C36" s="63"/>
      <c r="D36" s="63"/>
      <c r="E36" s="99"/>
      <c r="F36" s="61"/>
      <c r="G36" s="101"/>
      <c r="H36" s="101"/>
      <c r="I36" s="73"/>
      <c r="J36" s="75"/>
      <c r="K36" s="77"/>
      <c r="L36" s="79"/>
      <c r="M36" s="81"/>
    </row>
    <row r="37" spans="1:13" ht="21.9" customHeight="1" x14ac:dyDescent="0.4">
      <c r="A37" s="46" t="s">
        <v>27</v>
      </c>
      <c r="B37" s="10"/>
      <c r="C37" s="1"/>
      <c r="D37" s="1"/>
      <c r="E37" s="11" t="s">
        <v>28</v>
      </c>
      <c r="F37" s="48" t="str">
        <f>A37</f>
        <v>Spurious</v>
      </c>
      <c r="G37" s="50" t="str">
        <f>IF(COUNT(B37:D37)=0, "H", IF(COUNT(B38:D38)=0, "V", IF(MAX(B37:D37) &gt;= MAX(B38:D38), "V", "H")))</f>
        <v>H</v>
      </c>
      <c r="H37" s="52">
        <f>MAX(B37:D38)</f>
        <v>0</v>
      </c>
      <c r="I37" s="54">
        <v>-57</v>
      </c>
      <c r="J37" s="64" t="str">
        <f>IF(OR(I37-H37&gt;10,I37-H37=-57),"No Peak Found",I37-H37)</f>
        <v>No Peak Found</v>
      </c>
      <c r="K37" s="66" t="s">
        <v>8</v>
      </c>
      <c r="L37" s="68" t="str">
        <f>IF(OR(COUNTIF(B37:D38, "-")+COUNTBLANK(B37:D38)=6), "Pass", IF(H37 &gt; I37, "Fail", IF(J37 &lt; 3, "Margin 부족", "Pass")))</f>
        <v>Pass</v>
      </c>
      <c r="M37" s="70" t="s">
        <v>11</v>
      </c>
    </row>
    <row r="38" spans="1:13" ht="21.9" customHeight="1" thickBot="1" x14ac:dyDescent="0.45">
      <c r="A38" s="47"/>
      <c r="B38" s="2"/>
      <c r="C38" s="2"/>
      <c r="D38" s="2"/>
      <c r="E38" s="12" t="s">
        <v>29</v>
      </c>
      <c r="F38" s="49"/>
      <c r="G38" s="51"/>
      <c r="H38" s="53"/>
      <c r="I38" s="55"/>
      <c r="J38" s="65"/>
      <c r="K38" s="67"/>
      <c r="L38" s="69"/>
      <c r="M38" s="71"/>
    </row>
    <row r="39" spans="1:13" ht="21.9" customHeight="1" thickBot="1" x14ac:dyDescent="0.45">
      <c r="A39" s="56" t="s">
        <v>34</v>
      </c>
      <c r="B39" s="57"/>
      <c r="C39" s="57"/>
      <c r="D39" s="57"/>
      <c r="E39" s="58"/>
      <c r="F39" s="59" t="s">
        <v>34</v>
      </c>
      <c r="G39" s="59"/>
      <c r="H39" s="59"/>
      <c r="I39" s="59"/>
      <c r="J39" s="59"/>
      <c r="K39" s="59"/>
      <c r="L39" s="59"/>
      <c r="M39" s="59"/>
    </row>
    <row r="40" spans="1:13" ht="21.9" customHeight="1" thickTop="1" x14ac:dyDescent="0.4">
      <c r="A40" s="60" t="s">
        <v>44</v>
      </c>
      <c r="B40" s="62" t="s">
        <v>15</v>
      </c>
      <c r="C40" s="62" t="s">
        <v>16</v>
      </c>
      <c r="D40" s="62" t="s">
        <v>17</v>
      </c>
      <c r="E40" s="98" t="s">
        <v>18</v>
      </c>
      <c r="F40" s="60" t="s">
        <v>44</v>
      </c>
      <c r="G40" s="100" t="s">
        <v>18</v>
      </c>
      <c r="H40" s="100" t="s">
        <v>30</v>
      </c>
      <c r="I40" s="72" t="s">
        <v>42</v>
      </c>
      <c r="J40" s="74" t="s">
        <v>43</v>
      </c>
      <c r="K40" s="76" t="s">
        <v>9</v>
      </c>
      <c r="L40" s="78" t="s">
        <v>19</v>
      </c>
      <c r="M40" s="80" t="s">
        <v>7</v>
      </c>
    </row>
    <row r="41" spans="1:13" ht="21.9" customHeight="1" x14ac:dyDescent="0.4">
      <c r="A41" s="61"/>
      <c r="B41" s="63"/>
      <c r="C41" s="63"/>
      <c r="D41" s="63"/>
      <c r="E41" s="99"/>
      <c r="F41" s="61"/>
      <c r="G41" s="101"/>
      <c r="H41" s="101"/>
      <c r="I41" s="73"/>
      <c r="J41" s="75"/>
      <c r="K41" s="77"/>
      <c r="L41" s="79"/>
      <c r="M41" s="81"/>
    </row>
    <row r="42" spans="1:13" ht="21.9" customHeight="1" x14ac:dyDescent="0.4">
      <c r="A42" s="46" t="s">
        <v>27</v>
      </c>
      <c r="B42" s="10"/>
      <c r="C42" s="1"/>
      <c r="D42" s="1"/>
      <c r="E42" s="11" t="s">
        <v>28</v>
      </c>
      <c r="F42" s="48" t="str">
        <f>A42</f>
        <v>Spurious</v>
      </c>
      <c r="G42" s="50" t="str">
        <f>IF(COUNT(B42:D42)=0, "H", IF(COUNT(B43:D43)=0, "V", IF(MAX(B42:D42) &gt;= MAX(B43:D43), "V", "H")))</f>
        <v>H</v>
      </c>
      <c r="H42" s="52">
        <f>MAX(B42:D43)</f>
        <v>0</v>
      </c>
      <c r="I42" s="54">
        <v>-47</v>
      </c>
      <c r="J42" s="64" t="str">
        <f>IF(OR(I42-H42&gt;10,I42-H42=-47),"No Peak Found",I42-H42)</f>
        <v>No Peak Found</v>
      </c>
      <c r="K42" s="66" t="s">
        <v>8</v>
      </c>
      <c r="L42" s="68" t="str">
        <f>IF(OR(COUNTIF(B42:D43, "-")+COUNTBLANK(B42:D43)=6), "Pass", IF(H42 &gt; I42, "Fail", IF(J42 &lt; 3, "Margin 부족", "Pass")))</f>
        <v>Pass</v>
      </c>
      <c r="M42" s="70" t="s">
        <v>11</v>
      </c>
    </row>
    <row r="43" spans="1:13" ht="21.9" customHeight="1" thickBot="1" x14ac:dyDescent="0.45">
      <c r="A43" s="47"/>
      <c r="B43" s="2"/>
      <c r="C43" s="2"/>
      <c r="D43" s="2"/>
      <c r="E43" s="12" t="s">
        <v>29</v>
      </c>
      <c r="F43" s="49"/>
      <c r="G43" s="51"/>
      <c r="H43" s="53"/>
      <c r="I43" s="55"/>
      <c r="J43" s="65"/>
      <c r="K43" s="67"/>
      <c r="L43" s="69"/>
      <c r="M43" s="71"/>
    </row>
    <row r="44" spans="1:13" ht="21.9" customHeight="1" x14ac:dyDescent="0.4"/>
  </sheetData>
  <mergeCells count="177">
    <mergeCell ref="B1:D1"/>
    <mergeCell ref="E1:F2"/>
    <mergeCell ref="G1:M1"/>
    <mergeCell ref="B2:D2"/>
    <mergeCell ref="G2:M2"/>
    <mergeCell ref="A3:M4"/>
    <mergeCell ref="H7:H8"/>
    <mergeCell ref="I7:M8"/>
    <mergeCell ref="A9:E10"/>
    <mergeCell ref="F9:M10"/>
    <mergeCell ref="A11:E11"/>
    <mergeCell ref="F11:M11"/>
    <mergeCell ref="G5:G6"/>
    <mergeCell ref="H5:H6"/>
    <mergeCell ref="I5:M6"/>
    <mergeCell ref="A7:A8"/>
    <mergeCell ref="B7:B8"/>
    <mergeCell ref="C7:C8"/>
    <mergeCell ref="D7:D8"/>
    <mergeCell ref="E7:E8"/>
    <mergeCell ref="F7:F8"/>
    <mergeCell ref="G7:G8"/>
    <mergeCell ref="A5:A6"/>
    <mergeCell ref="B5:B6"/>
    <mergeCell ref="C5:C6"/>
    <mergeCell ref="D5:D6"/>
    <mergeCell ref="E5:E6"/>
    <mergeCell ref="F5:F6"/>
    <mergeCell ref="M12:M13"/>
    <mergeCell ref="A14:A15"/>
    <mergeCell ref="F14:F15"/>
    <mergeCell ref="G14:G15"/>
    <mergeCell ref="H14:H15"/>
    <mergeCell ref="I14:I15"/>
    <mergeCell ref="J14:J15"/>
    <mergeCell ref="K14:K15"/>
    <mergeCell ref="L14:L15"/>
    <mergeCell ref="M14:M15"/>
    <mergeCell ref="G12:G13"/>
    <mergeCell ref="H12:H13"/>
    <mergeCell ref="I12:I13"/>
    <mergeCell ref="J12:J13"/>
    <mergeCell ref="K12:K13"/>
    <mergeCell ref="L12:L13"/>
    <mergeCell ref="A12:A13"/>
    <mergeCell ref="B12:B13"/>
    <mergeCell ref="C12:C13"/>
    <mergeCell ref="D12:D13"/>
    <mergeCell ref="E12:E13"/>
    <mergeCell ref="F12:F13"/>
    <mergeCell ref="A16:E16"/>
    <mergeCell ref="F16:M16"/>
    <mergeCell ref="A17:A18"/>
    <mergeCell ref="B17:B18"/>
    <mergeCell ref="C17:C18"/>
    <mergeCell ref="D17:D18"/>
    <mergeCell ref="E17:E18"/>
    <mergeCell ref="F17:F18"/>
    <mergeCell ref="G17:G18"/>
    <mergeCell ref="H17:H18"/>
    <mergeCell ref="J19:J20"/>
    <mergeCell ref="K19:K20"/>
    <mergeCell ref="L19:L20"/>
    <mergeCell ref="M19:M20"/>
    <mergeCell ref="A21:E21"/>
    <mergeCell ref="F21:M21"/>
    <mergeCell ref="I17:I18"/>
    <mergeCell ref="J17:J18"/>
    <mergeCell ref="K17:K18"/>
    <mergeCell ref="L17:L18"/>
    <mergeCell ref="M17:M18"/>
    <mergeCell ref="A19:A20"/>
    <mergeCell ref="F19:F20"/>
    <mergeCell ref="G19:G20"/>
    <mergeCell ref="H19:H20"/>
    <mergeCell ref="I19:I20"/>
    <mergeCell ref="M22:M23"/>
    <mergeCell ref="A24:A25"/>
    <mergeCell ref="F24:F25"/>
    <mergeCell ref="G24:G25"/>
    <mergeCell ref="H24:H25"/>
    <mergeCell ref="I24:I25"/>
    <mergeCell ref="J24:J25"/>
    <mergeCell ref="K24:K25"/>
    <mergeCell ref="L24:L25"/>
    <mergeCell ref="M24:M25"/>
    <mergeCell ref="G22:G23"/>
    <mergeCell ref="H22:H23"/>
    <mergeCell ref="I22:I23"/>
    <mergeCell ref="J22:J23"/>
    <mergeCell ref="K22:K23"/>
    <mergeCell ref="L22:L23"/>
    <mergeCell ref="A22:A23"/>
    <mergeCell ref="B22:B23"/>
    <mergeCell ref="C22:C23"/>
    <mergeCell ref="D22:D23"/>
    <mergeCell ref="E22:E23"/>
    <mergeCell ref="F22:F23"/>
    <mergeCell ref="K26:K27"/>
    <mergeCell ref="L26:L27"/>
    <mergeCell ref="M26:M27"/>
    <mergeCell ref="A28:A29"/>
    <mergeCell ref="F28:F29"/>
    <mergeCell ref="G28:G29"/>
    <mergeCell ref="H28:H29"/>
    <mergeCell ref="I28:I29"/>
    <mergeCell ref="J28:J29"/>
    <mergeCell ref="K28:K29"/>
    <mergeCell ref="A26:A27"/>
    <mergeCell ref="F26:F27"/>
    <mergeCell ref="G26:G27"/>
    <mergeCell ref="H26:H27"/>
    <mergeCell ref="I26:I27"/>
    <mergeCell ref="J26:J27"/>
    <mergeCell ref="M30:M31"/>
    <mergeCell ref="N30:P30"/>
    <mergeCell ref="N31:P31"/>
    <mergeCell ref="A32:E33"/>
    <mergeCell ref="F32:M33"/>
    <mergeCell ref="A34:E34"/>
    <mergeCell ref="F34:M34"/>
    <mergeCell ref="L28:L29"/>
    <mergeCell ref="M28:M29"/>
    <mergeCell ref="A30:A31"/>
    <mergeCell ref="F30:F31"/>
    <mergeCell ref="G30:G31"/>
    <mergeCell ref="H30:H31"/>
    <mergeCell ref="I30:I31"/>
    <mergeCell ref="J30:J31"/>
    <mergeCell ref="K30:K31"/>
    <mergeCell ref="L30:L31"/>
    <mergeCell ref="M35:M36"/>
    <mergeCell ref="A37:A38"/>
    <mergeCell ref="F37:F38"/>
    <mergeCell ref="G37:G38"/>
    <mergeCell ref="H37:H38"/>
    <mergeCell ref="I37:I38"/>
    <mergeCell ref="J37:J38"/>
    <mergeCell ref="K37:K38"/>
    <mergeCell ref="L37:L38"/>
    <mergeCell ref="M37:M38"/>
    <mergeCell ref="G35:G36"/>
    <mergeCell ref="H35:H36"/>
    <mergeCell ref="I35:I36"/>
    <mergeCell ref="J35:J36"/>
    <mergeCell ref="K35:K36"/>
    <mergeCell ref="L35:L36"/>
    <mergeCell ref="A35:A36"/>
    <mergeCell ref="B35:B36"/>
    <mergeCell ref="C35:C36"/>
    <mergeCell ref="D35:D36"/>
    <mergeCell ref="E35:E36"/>
    <mergeCell ref="F35:F36"/>
    <mergeCell ref="A42:A43"/>
    <mergeCell ref="F42:F43"/>
    <mergeCell ref="G42:G43"/>
    <mergeCell ref="H42:H43"/>
    <mergeCell ref="I42:I43"/>
    <mergeCell ref="A39:E39"/>
    <mergeCell ref="F39:M39"/>
    <mergeCell ref="A40:A41"/>
    <mergeCell ref="B40:B41"/>
    <mergeCell ref="C40:C41"/>
    <mergeCell ref="D40:D41"/>
    <mergeCell ref="E40:E41"/>
    <mergeCell ref="F40:F41"/>
    <mergeCell ref="G40:G41"/>
    <mergeCell ref="H40:H41"/>
    <mergeCell ref="J42:J43"/>
    <mergeCell ref="K42:K43"/>
    <mergeCell ref="L42:L43"/>
    <mergeCell ref="M42:M43"/>
    <mergeCell ref="I40:I41"/>
    <mergeCell ref="J40:J41"/>
    <mergeCell ref="K40:K41"/>
    <mergeCell ref="L40:L41"/>
    <mergeCell ref="M40:M41"/>
  </mergeCells>
  <phoneticPr fontId="1" type="noConversion"/>
  <conditionalFormatting sqref="J14 J19">
    <cfRule type="cellIs" dxfId="236" priority="22" operator="lessThan">
      <formula>10</formula>
    </cfRule>
  </conditionalFormatting>
  <conditionalFormatting sqref="J14">
    <cfRule type="cellIs" dxfId="235" priority="21" operator="equal">
      <formula>-36</formula>
    </cfRule>
  </conditionalFormatting>
  <conditionalFormatting sqref="L14 L19">
    <cfRule type="cellIs" dxfId="234" priority="20" operator="equal">
      <formula>"Fail"</formula>
    </cfRule>
  </conditionalFormatting>
  <conditionalFormatting sqref="L24">
    <cfRule type="cellIs" dxfId="233" priority="19" operator="equal">
      <formula>"Fail"</formula>
    </cfRule>
  </conditionalFormatting>
  <conditionalFormatting sqref="L26">
    <cfRule type="cellIs" dxfId="232" priority="18" operator="equal">
      <formula>"Fail"</formula>
    </cfRule>
  </conditionalFormatting>
  <conditionalFormatting sqref="L28">
    <cfRule type="cellIs" dxfId="231" priority="17" operator="equal">
      <formula>"Fail"</formula>
    </cfRule>
  </conditionalFormatting>
  <conditionalFormatting sqref="L30">
    <cfRule type="cellIs" dxfId="230" priority="16" operator="equal">
      <formula>"Fail"</formula>
    </cfRule>
  </conditionalFormatting>
  <conditionalFormatting sqref="V33">
    <cfRule type="cellIs" dxfId="229" priority="15" operator="equal">
      <formula>"Fail"</formula>
    </cfRule>
  </conditionalFormatting>
  <conditionalFormatting sqref="L14:L15 L19:L20 L24:L31">
    <cfRule type="cellIs" dxfId="228" priority="14" operator="equal">
      <formula>"Pass"</formula>
    </cfRule>
  </conditionalFormatting>
  <conditionalFormatting sqref="L37">
    <cfRule type="cellIs" dxfId="227" priority="13" operator="equal">
      <formula>"Fail"</formula>
    </cfRule>
  </conditionalFormatting>
  <conditionalFormatting sqref="L37:L38">
    <cfRule type="cellIs" dxfId="226" priority="12" operator="equal">
      <formula>"Pass"</formula>
    </cfRule>
  </conditionalFormatting>
  <conditionalFormatting sqref="L42">
    <cfRule type="cellIs" dxfId="225" priority="11" operator="equal">
      <formula>"Fail"</formula>
    </cfRule>
  </conditionalFormatting>
  <conditionalFormatting sqref="L42:L43">
    <cfRule type="cellIs" dxfId="224" priority="10" operator="equal">
      <formula>"Pass"</formula>
    </cfRule>
  </conditionalFormatting>
  <conditionalFormatting sqref="B14:D15">
    <cfRule type="top10" dxfId="223" priority="9" rank="1"/>
  </conditionalFormatting>
  <conditionalFormatting sqref="B19:D20">
    <cfRule type="top10" dxfId="222" priority="8" rank="1"/>
  </conditionalFormatting>
  <conditionalFormatting sqref="B24:D25">
    <cfRule type="top10" dxfId="221" priority="7" rank="1"/>
  </conditionalFormatting>
  <conditionalFormatting sqref="J24 J26 J28 J30">
    <cfRule type="expression" dxfId="220" priority="4">
      <formula>J24=-30</formula>
    </cfRule>
    <cfRule type="expression" dxfId="219" priority="5">
      <formula>AND(J24&lt;&gt;-30,J24&lt;=3)</formula>
    </cfRule>
    <cfRule type="expression" dxfId="218" priority="6">
      <formula>AND(J24&gt;3,J24&lt;10)</formula>
    </cfRule>
  </conditionalFormatting>
  <conditionalFormatting sqref="B26:D27">
    <cfRule type="top10" dxfId="217" priority="3" rank="1"/>
  </conditionalFormatting>
  <conditionalFormatting sqref="B28:D29">
    <cfRule type="top10" dxfId="216" priority="2" rank="1"/>
  </conditionalFormatting>
  <conditionalFormatting sqref="B30:D31">
    <cfRule type="top10" dxfId="215" priority="1" rank="1"/>
  </conditionalFormatting>
  <dataValidations count="1">
    <dataValidation type="list" allowBlank="1" showInputMessage="1" showErrorMessage="1" sqref="M14 M19 M30 M24 M26 M28 M42:M43 M37:M38" xr:uid="{E170C0A3-8D75-48CE-B18B-A87A55449A95}">
      <formula1>"Fundamental, Harmonic, Noise Floor, -"</formula1>
    </dataValidation>
  </dataValidations>
  <pageMargins left="0.7" right="0.7" top="0.75" bottom="0.75" header="0.3" footer="0.3"/>
  <pageSetup paperSize="9" scale="27" orientation="portrait" r:id="rId1"/>
  <colBreaks count="1" manualBreakCount="1">
    <brk id="13" max="42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6E860D-6E94-4834-A699-A95167731E37}">
  <dimension ref="A1:P44"/>
  <sheetViews>
    <sheetView view="pageBreakPreview" zoomScale="85" zoomScaleNormal="100" zoomScaleSheetLayoutView="85" workbookViewId="0"/>
  </sheetViews>
  <sheetFormatPr defaultRowHeight="17.399999999999999" outlineLevelCol="1" x14ac:dyDescent="0.4"/>
  <cols>
    <col min="1" max="11" width="12.59765625" style="6" customWidth="1"/>
    <col min="12" max="13" width="12.59765625" style="6" hidden="1" customWidth="1" outlineLevel="1"/>
    <col min="14" max="14" width="12.59765625" style="6" customWidth="1" collapsed="1"/>
    <col min="15" max="16" width="12.59765625" style="6" customWidth="1"/>
    <col min="17" max="22" width="12.59765625" customWidth="1"/>
  </cols>
  <sheetData>
    <row r="1" spans="1:13" ht="20.100000000000001" customHeight="1" x14ac:dyDescent="0.4">
      <c r="A1" s="5" t="s">
        <v>14</v>
      </c>
      <c r="B1" s="188"/>
      <c r="C1" s="189"/>
      <c r="D1" s="190"/>
      <c r="E1" s="191" t="s">
        <v>35</v>
      </c>
      <c r="F1" s="192"/>
      <c r="G1" s="188" t="s">
        <v>36</v>
      </c>
      <c r="H1" s="189"/>
      <c r="I1" s="189"/>
      <c r="J1" s="189"/>
      <c r="K1" s="189"/>
      <c r="L1" s="189"/>
      <c r="M1" s="190"/>
    </row>
    <row r="2" spans="1:13" ht="20.100000000000001" customHeight="1" thickBot="1" x14ac:dyDescent="0.45">
      <c r="A2" s="18" t="s">
        <v>47</v>
      </c>
      <c r="B2" s="195"/>
      <c r="C2" s="196"/>
      <c r="D2" s="197"/>
      <c r="E2" s="193"/>
      <c r="F2" s="194"/>
      <c r="G2" s="195" t="s">
        <v>45</v>
      </c>
      <c r="H2" s="196"/>
      <c r="I2" s="196"/>
      <c r="J2" s="196"/>
      <c r="K2" s="196"/>
      <c r="L2" s="196"/>
      <c r="M2" s="197"/>
    </row>
    <row r="3" spans="1:13" ht="24.9" customHeight="1" x14ac:dyDescent="0.4">
      <c r="A3" s="198" t="s">
        <v>48</v>
      </c>
      <c r="B3" s="199"/>
      <c r="C3" s="199"/>
      <c r="D3" s="199"/>
      <c r="E3" s="199"/>
      <c r="F3" s="199"/>
      <c r="G3" s="199"/>
      <c r="H3" s="199"/>
      <c r="I3" s="199"/>
      <c r="J3" s="199"/>
      <c r="K3" s="199"/>
      <c r="L3" s="199"/>
      <c r="M3" s="200"/>
    </row>
    <row r="4" spans="1:13" ht="24.9" customHeight="1" thickBot="1" x14ac:dyDescent="0.45">
      <c r="A4" s="201"/>
      <c r="B4" s="202"/>
      <c r="C4" s="202"/>
      <c r="D4" s="202"/>
      <c r="E4" s="202"/>
      <c r="F4" s="202"/>
      <c r="G4" s="202"/>
      <c r="H4" s="202"/>
      <c r="I4" s="202"/>
      <c r="J4" s="202"/>
      <c r="K4" s="202"/>
      <c r="L4" s="202"/>
      <c r="M4" s="203"/>
    </row>
    <row r="5" spans="1:13" ht="24.9" customHeight="1" x14ac:dyDescent="0.4">
      <c r="A5" s="186" t="s">
        <v>20</v>
      </c>
      <c r="B5" s="278" t="s">
        <v>23</v>
      </c>
      <c r="C5" s="274" t="s">
        <v>25</v>
      </c>
      <c r="D5" s="274" t="s">
        <v>21</v>
      </c>
      <c r="E5" s="274" t="s">
        <v>22</v>
      </c>
      <c r="F5" s="274" t="s">
        <v>26</v>
      </c>
      <c r="G5" s="272" t="s">
        <v>38</v>
      </c>
      <c r="H5" s="274" t="s">
        <v>37</v>
      </c>
      <c r="I5" s="281" t="s">
        <v>39</v>
      </c>
      <c r="J5" s="207"/>
      <c r="K5" s="207"/>
      <c r="L5" s="207"/>
      <c r="M5" s="282"/>
    </row>
    <row r="6" spans="1:13" ht="20.100000000000001" customHeight="1" x14ac:dyDescent="0.4">
      <c r="A6" s="187"/>
      <c r="B6" s="279"/>
      <c r="C6" s="275"/>
      <c r="D6" s="275"/>
      <c r="E6" s="275"/>
      <c r="F6" s="275"/>
      <c r="G6" s="273"/>
      <c r="H6" s="275"/>
      <c r="I6" s="283"/>
      <c r="J6" s="284"/>
      <c r="K6" s="284"/>
      <c r="L6" s="284"/>
      <c r="M6" s="285"/>
    </row>
    <row r="7" spans="1:13" ht="20.100000000000001" customHeight="1" x14ac:dyDescent="0.4">
      <c r="A7" s="204" t="s">
        <v>58</v>
      </c>
      <c r="B7" s="276"/>
      <c r="C7" s="264"/>
      <c r="D7" s="264"/>
      <c r="E7" s="263"/>
      <c r="F7" s="263"/>
      <c r="G7" s="263">
        <v>15</v>
      </c>
      <c r="H7" s="264"/>
      <c r="I7" s="286"/>
      <c r="J7" s="287"/>
      <c r="K7" s="287"/>
      <c r="L7" s="287"/>
      <c r="M7" s="288"/>
    </row>
    <row r="8" spans="1:13" ht="20.100000000000001" customHeight="1" thickBot="1" x14ac:dyDescent="0.45">
      <c r="A8" s="205"/>
      <c r="B8" s="277"/>
      <c r="C8" s="265"/>
      <c r="D8" s="265"/>
      <c r="E8" s="264"/>
      <c r="F8" s="264"/>
      <c r="G8" s="264"/>
      <c r="H8" s="265"/>
      <c r="I8" s="289"/>
      <c r="J8" s="290"/>
      <c r="K8" s="290"/>
      <c r="L8" s="290"/>
      <c r="M8" s="291"/>
    </row>
    <row r="9" spans="1:13" ht="24.9" customHeight="1" x14ac:dyDescent="0.4">
      <c r="A9" s="266" t="s">
        <v>12</v>
      </c>
      <c r="B9" s="267"/>
      <c r="C9" s="267"/>
      <c r="D9" s="267"/>
      <c r="E9" s="268"/>
      <c r="F9" s="271" t="s">
        <v>40</v>
      </c>
      <c r="G9" s="267"/>
      <c r="H9" s="267"/>
      <c r="I9" s="267"/>
      <c r="J9" s="267"/>
      <c r="K9" s="267"/>
      <c r="L9" s="267"/>
      <c r="M9" s="268"/>
    </row>
    <row r="10" spans="1:13" ht="24.9" customHeight="1" x14ac:dyDescent="0.4">
      <c r="A10" s="269"/>
      <c r="B10" s="177"/>
      <c r="C10" s="177"/>
      <c r="D10" s="177"/>
      <c r="E10" s="270"/>
      <c r="F10" s="177"/>
      <c r="G10" s="177"/>
      <c r="H10" s="177"/>
      <c r="I10" s="177"/>
      <c r="J10" s="177"/>
      <c r="K10" s="177"/>
      <c r="L10" s="177"/>
      <c r="M10" s="270"/>
    </row>
    <row r="11" spans="1:13" ht="21.9" customHeight="1" thickBot="1" x14ac:dyDescent="0.45">
      <c r="A11" s="280" t="s">
        <v>6</v>
      </c>
      <c r="B11" s="256"/>
      <c r="C11" s="256"/>
      <c r="D11" s="256"/>
      <c r="E11" s="258"/>
      <c r="F11" s="256" t="str">
        <f>A11</f>
        <v>30M-1G</v>
      </c>
      <c r="G11" s="256"/>
      <c r="H11" s="256"/>
      <c r="I11" s="256"/>
      <c r="J11" s="59"/>
      <c r="K11" s="256"/>
      <c r="L11" s="256"/>
      <c r="M11" s="258"/>
    </row>
    <row r="12" spans="1:13" ht="21.9" customHeight="1" thickTop="1" x14ac:dyDescent="0.4">
      <c r="A12" s="60" t="s">
        <v>44</v>
      </c>
      <c r="B12" s="62" t="s">
        <v>4</v>
      </c>
      <c r="C12" s="62" t="s">
        <v>16</v>
      </c>
      <c r="D12" s="62" t="s">
        <v>3</v>
      </c>
      <c r="E12" s="98" t="s">
        <v>2</v>
      </c>
      <c r="F12" s="60" t="s">
        <v>44</v>
      </c>
      <c r="G12" s="100" t="s">
        <v>18</v>
      </c>
      <c r="H12" s="100" t="s">
        <v>30</v>
      </c>
      <c r="I12" s="72" t="s">
        <v>42</v>
      </c>
      <c r="J12" s="74" t="s">
        <v>43</v>
      </c>
      <c r="K12" s="146" t="s">
        <v>9</v>
      </c>
      <c r="L12" s="78" t="s">
        <v>19</v>
      </c>
      <c r="M12" s="80" t="s">
        <v>7</v>
      </c>
    </row>
    <row r="13" spans="1:13" ht="21.9" customHeight="1" x14ac:dyDescent="0.4">
      <c r="A13" s="61"/>
      <c r="B13" s="63"/>
      <c r="C13" s="63"/>
      <c r="D13" s="63"/>
      <c r="E13" s="99"/>
      <c r="F13" s="61"/>
      <c r="G13" s="101"/>
      <c r="H13" s="101"/>
      <c r="I13" s="73"/>
      <c r="J13" s="75"/>
      <c r="K13" s="147"/>
      <c r="L13" s="79"/>
      <c r="M13" s="81"/>
    </row>
    <row r="14" spans="1:13" ht="21.9" customHeight="1" x14ac:dyDescent="0.4">
      <c r="A14" s="159" t="s">
        <v>27</v>
      </c>
      <c r="B14" s="3"/>
      <c r="C14" s="3"/>
      <c r="D14" s="3"/>
      <c r="E14" s="11" t="s">
        <v>28</v>
      </c>
      <c r="F14" s="161" t="str">
        <f>A14</f>
        <v>Spurious</v>
      </c>
      <c r="G14" s="42" t="str">
        <f>IF(COUNT(B14:D14)=0, "H", IF(COUNT(B15:D15)=0, "V", IF(MAX(B14:D14) &gt;= MAX(B15:D15), "V", "H")))</f>
        <v>H</v>
      </c>
      <c r="H14" s="44">
        <f>MAX(B14:D15)</f>
        <v>0</v>
      </c>
      <c r="I14" s="120">
        <v>-36</v>
      </c>
      <c r="J14" s="134" t="str">
        <f>IF(OR(I14-H14&gt;10,I14-H14=-36),"No Peak Found",I14-H14)</f>
        <v>No Peak Found</v>
      </c>
      <c r="K14" s="136" t="s">
        <v>8</v>
      </c>
      <c r="L14" s="68" t="str">
        <f>IF(OR(COUNTIF(B14:D15, "-")+COUNTBLANK(B14:D15)=6), "Pass", IF(H14 &gt; I14, "Fail", IF(J14 &lt; 3, "Margin 부족", "Pass")))</f>
        <v>Pass</v>
      </c>
      <c r="M14" s="138" t="s">
        <v>11</v>
      </c>
    </row>
    <row r="15" spans="1:13" ht="21.9" customHeight="1" thickBot="1" x14ac:dyDescent="0.45">
      <c r="A15" s="160"/>
      <c r="B15" s="7"/>
      <c r="C15" s="7"/>
      <c r="D15" s="37"/>
      <c r="E15" s="12" t="s">
        <v>29</v>
      </c>
      <c r="F15" s="162"/>
      <c r="G15" s="163"/>
      <c r="H15" s="164"/>
      <c r="I15" s="165"/>
      <c r="J15" s="135"/>
      <c r="K15" s="166"/>
      <c r="L15" s="69"/>
      <c r="M15" s="167"/>
    </row>
    <row r="16" spans="1:13" ht="21.9" customHeight="1" thickBot="1" x14ac:dyDescent="0.45">
      <c r="A16" s="155" t="s">
        <v>32</v>
      </c>
      <c r="B16" s="156"/>
      <c r="C16" s="156"/>
      <c r="D16" s="156"/>
      <c r="E16" s="157"/>
      <c r="F16" s="156" t="str">
        <f>A16</f>
        <v>1 - 3G</v>
      </c>
      <c r="G16" s="156"/>
      <c r="H16" s="156"/>
      <c r="I16" s="156"/>
      <c r="J16" s="59"/>
      <c r="K16" s="156"/>
      <c r="L16" s="156"/>
      <c r="M16" s="156"/>
    </row>
    <row r="17" spans="1:16" ht="21.9" customHeight="1" thickTop="1" x14ac:dyDescent="0.4">
      <c r="A17" s="60" t="s">
        <v>44</v>
      </c>
      <c r="B17" s="62" t="s">
        <v>15</v>
      </c>
      <c r="C17" s="62" t="s">
        <v>16</v>
      </c>
      <c r="D17" s="62" t="s">
        <v>17</v>
      </c>
      <c r="E17" s="98" t="s">
        <v>18</v>
      </c>
      <c r="F17" s="60" t="s">
        <v>44</v>
      </c>
      <c r="G17" s="100" t="s">
        <v>18</v>
      </c>
      <c r="H17" s="100" t="s">
        <v>30</v>
      </c>
      <c r="I17" s="72" t="s">
        <v>42</v>
      </c>
      <c r="J17" s="74" t="s">
        <v>43</v>
      </c>
      <c r="K17" s="146" t="s">
        <v>9</v>
      </c>
      <c r="L17" s="78" t="s">
        <v>19</v>
      </c>
      <c r="M17" s="80" t="s">
        <v>7</v>
      </c>
    </row>
    <row r="18" spans="1:16" ht="21.9" customHeight="1" x14ac:dyDescent="0.4">
      <c r="A18" s="61"/>
      <c r="B18" s="63"/>
      <c r="C18" s="63"/>
      <c r="D18" s="63"/>
      <c r="E18" s="99"/>
      <c r="F18" s="61"/>
      <c r="G18" s="101"/>
      <c r="H18" s="101"/>
      <c r="I18" s="73"/>
      <c r="J18" s="75"/>
      <c r="K18" s="147"/>
      <c r="L18" s="79"/>
      <c r="M18" s="81"/>
    </row>
    <row r="19" spans="1:16" ht="21.9" customHeight="1" x14ac:dyDescent="0.4">
      <c r="A19" s="148" t="s">
        <v>27</v>
      </c>
      <c r="B19" s="3"/>
      <c r="C19" s="3"/>
      <c r="D19" s="3"/>
      <c r="E19" s="11" t="s">
        <v>28</v>
      </c>
      <c r="F19" s="150" t="str">
        <f>$A$19</f>
        <v>Spurious</v>
      </c>
      <c r="G19" s="42" t="str">
        <f>IF(COUNT(B19:D19)=0, "H", IF(COUNT(B20:D20)=0, "V", IF(MAX(B19:D19) &gt;= MAX(B20:D20), "V", "H")))</f>
        <v>H</v>
      </c>
      <c r="H19" s="44">
        <f>MAX(B19:D20)</f>
        <v>0</v>
      </c>
      <c r="I19" s="120">
        <v>-30</v>
      </c>
      <c r="J19" s="134" t="str">
        <f>IF(OR(I19-H19&gt;10,I19-H19=-30),"No Peak Found",I19-H19)</f>
        <v>No Peak Found</v>
      </c>
      <c r="K19" s="136" t="s">
        <v>8</v>
      </c>
      <c r="L19" s="68" t="str">
        <f>IF(OR(COUNTIF(B19:D20, "-")+COUNTBLANK(B19:D20)=6), "Pass", IF(H19 &gt; I19, "Fail", IF(J19 &lt; 3, "Margin 부족", "Pass")))</f>
        <v>Pass</v>
      </c>
      <c r="M19" s="138" t="s">
        <v>11</v>
      </c>
    </row>
    <row r="20" spans="1:16" ht="21.9" customHeight="1" thickBot="1" x14ac:dyDescent="0.45">
      <c r="A20" s="149"/>
      <c r="B20" s="7"/>
      <c r="C20" s="7"/>
      <c r="D20" s="7"/>
      <c r="E20" s="12" t="s">
        <v>29</v>
      </c>
      <c r="F20" s="151"/>
      <c r="G20" s="152"/>
      <c r="H20" s="153"/>
      <c r="I20" s="154"/>
      <c r="J20" s="135"/>
      <c r="K20" s="105"/>
      <c r="L20" s="137"/>
      <c r="M20" s="139"/>
    </row>
    <row r="21" spans="1:16" ht="21.9" customHeight="1" thickBot="1" x14ac:dyDescent="0.45">
      <c r="A21" s="140" t="s">
        <v>33</v>
      </c>
      <c r="B21" s="141"/>
      <c r="C21" s="141"/>
      <c r="D21" s="141"/>
      <c r="E21" s="141"/>
      <c r="F21" s="142" t="str">
        <f>A21</f>
        <v>3 - 12.75G - 2nd, 3rd, 4th, 5th</v>
      </c>
      <c r="G21" s="143"/>
      <c r="H21" s="143"/>
      <c r="I21" s="143"/>
      <c r="J21" s="59"/>
      <c r="K21" s="143"/>
      <c r="L21" s="144"/>
      <c r="M21" s="145"/>
    </row>
    <row r="22" spans="1:16" ht="21.9" customHeight="1" thickTop="1" x14ac:dyDescent="0.4">
      <c r="A22" s="128" t="s">
        <v>44</v>
      </c>
      <c r="B22" s="130" t="s">
        <v>15</v>
      </c>
      <c r="C22" s="130" t="s">
        <v>16</v>
      </c>
      <c r="D22" s="130" t="s">
        <v>17</v>
      </c>
      <c r="E22" s="132" t="s">
        <v>18</v>
      </c>
      <c r="F22" s="128" t="s">
        <v>44</v>
      </c>
      <c r="G22" s="122" t="s">
        <v>18</v>
      </c>
      <c r="H22" s="122" t="s">
        <v>30</v>
      </c>
      <c r="I22" s="123" t="s">
        <v>42</v>
      </c>
      <c r="J22" s="74" t="s">
        <v>43</v>
      </c>
      <c r="K22" s="124" t="s">
        <v>9</v>
      </c>
      <c r="L22" s="126" t="s">
        <v>19</v>
      </c>
      <c r="M22" s="118" t="s">
        <v>7</v>
      </c>
    </row>
    <row r="23" spans="1:16" ht="21.75" customHeight="1" x14ac:dyDescent="0.4">
      <c r="A23" s="129"/>
      <c r="B23" s="131"/>
      <c r="C23" s="131"/>
      <c r="D23" s="131"/>
      <c r="E23" s="133"/>
      <c r="F23" s="129"/>
      <c r="G23" s="101"/>
      <c r="H23" s="101"/>
      <c r="I23" s="73"/>
      <c r="J23" s="75"/>
      <c r="K23" s="125"/>
      <c r="L23" s="127"/>
      <c r="M23" s="119"/>
    </row>
    <row r="24" spans="1:16" ht="21.9" customHeight="1" x14ac:dyDescent="0.4">
      <c r="A24" s="102">
        <f>I7*2</f>
        <v>0</v>
      </c>
      <c r="B24" s="4"/>
      <c r="C24" s="4"/>
      <c r="D24" s="4"/>
      <c r="E24" s="13" t="s">
        <v>1</v>
      </c>
      <c r="F24" s="109">
        <f>$A$24</f>
        <v>0</v>
      </c>
      <c r="G24" s="42" t="str">
        <f>IF(COUNT(B24:D24)=0, "H", IF(COUNT(B25:D25)=0, "V", IF(MAX(B24:D24) &gt;= MAX(B25:D25), "V", "H")))</f>
        <v>H</v>
      </c>
      <c r="H24" s="44">
        <f>MAX(B24:D25)</f>
        <v>0</v>
      </c>
      <c r="I24" s="120">
        <v>-30</v>
      </c>
      <c r="J24" s="111" t="str">
        <f>IF(OR(I24-H24&gt;10,I24-H24=-30),"No Peak Found",I24-H24)</f>
        <v>No Peak Found</v>
      </c>
      <c r="K24" s="121" t="s">
        <v>8</v>
      </c>
      <c r="L24" s="105" t="str">
        <f>IF(OR(COUNTIF(B24:D25, "-")+COUNTBLANK(B24:D25)=6), "Pass", IF(H24 &gt; I24, "Fail", IF(J24 &lt; 3, "Margin 부족", "Pass")))</f>
        <v>Pass</v>
      </c>
      <c r="M24" s="38" t="s">
        <v>10</v>
      </c>
    </row>
    <row r="25" spans="1:16" ht="21.9" customHeight="1" x14ac:dyDescent="0.4">
      <c r="A25" s="108"/>
      <c r="B25" s="4"/>
      <c r="C25" s="4"/>
      <c r="D25" s="4"/>
      <c r="E25" s="13" t="s">
        <v>0</v>
      </c>
      <c r="F25" s="109"/>
      <c r="G25" s="42"/>
      <c r="H25" s="44"/>
      <c r="I25" s="120"/>
      <c r="J25" s="112"/>
      <c r="K25" s="121"/>
      <c r="L25" s="106"/>
      <c r="M25" s="107"/>
    </row>
    <row r="26" spans="1:16" ht="21.9" customHeight="1" x14ac:dyDescent="0.4">
      <c r="A26" s="102">
        <f>I7*3</f>
        <v>0</v>
      </c>
      <c r="B26" s="4"/>
      <c r="C26" s="4"/>
      <c r="D26" s="4"/>
      <c r="E26" s="13" t="s">
        <v>1</v>
      </c>
      <c r="F26" s="40">
        <f>$A$26</f>
        <v>0</v>
      </c>
      <c r="G26" s="42" t="str">
        <f>IF(COUNT(B26:D26)=0, "H", IF(COUNT(B27:D27)=0, "V", IF(MAX(B26:D26) &gt;= MAX(B27:D27), "V", "H")))</f>
        <v>H</v>
      </c>
      <c r="H26" s="44">
        <f>MAX(B26:D27)</f>
        <v>0</v>
      </c>
      <c r="I26" s="110">
        <v>-30</v>
      </c>
      <c r="J26" s="111" t="str">
        <f t="shared" ref="J26" si="0">IF(OR(I26-H26&gt;10,I26-H26=-30),"No Peak Found",I26-H26)</f>
        <v>No Peak Found</v>
      </c>
      <c r="K26" s="104" t="s">
        <v>8</v>
      </c>
      <c r="L26" s="105" t="str">
        <f>IF(OR(COUNTIF(B26:D27, "-")+COUNTBLANK(B26:D27)=6), "Pass", IF(H26 &gt; I26, "Fail", IF(J26 &lt; 3, "Margin 부족", "Pass")))</f>
        <v>Pass</v>
      </c>
      <c r="M26" s="38" t="s">
        <v>10</v>
      </c>
    </row>
    <row r="27" spans="1:16" ht="21.9" customHeight="1" x14ac:dyDescent="0.4">
      <c r="A27" s="108"/>
      <c r="B27" s="4"/>
      <c r="C27" s="4"/>
      <c r="D27" s="4"/>
      <c r="E27" s="13" t="s">
        <v>0</v>
      </c>
      <c r="F27" s="40"/>
      <c r="G27" s="42"/>
      <c r="H27" s="44"/>
      <c r="I27" s="110"/>
      <c r="J27" s="112"/>
      <c r="K27" s="104"/>
      <c r="L27" s="106"/>
      <c r="M27" s="107"/>
    </row>
    <row r="28" spans="1:16" ht="21.9" customHeight="1" x14ac:dyDescent="0.4">
      <c r="A28" s="102">
        <f>I7*4</f>
        <v>0</v>
      </c>
      <c r="B28" s="4"/>
      <c r="C28" s="4"/>
      <c r="D28" s="4"/>
      <c r="E28" s="13" t="s">
        <v>1</v>
      </c>
      <c r="F28" s="109">
        <f>$A$28</f>
        <v>0</v>
      </c>
      <c r="G28" s="42" t="str">
        <f>IF(COUNT(B28:D28)=0, "H", IF(COUNT(B29:D29)=0, "V", IF(MAX(B28:D28) &gt;= MAX(B29:D29), "V", "H")))</f>
        <v>H</v>
      </c>
      <c r="H28" s="44">
        <f>MAX(B28:D29)</f>
        <v>0</v>
      </c>
      <c r="I28" s="110">
        <v>-30</v>
      </c>
      <c r="J28" s="111" t="str">
        <f t="shared" ref="J28" si="1">IF(OR(I28-H28&gt;10,I28-H28=-30),"No Peak Found",I28-H28)</f>
        <v>No Peak Found</v>
      </c>
      <c r="K28" s="113" t="s">
        <v>8</v>
      </c>
      <c r="L28" s="105" t="str">
        <f>IF(OR(COUNTIF(B28:D29, "-")+COUNTBLANK(B28:D29)=6), "Pass", IF(H28 &gt; I28, "Fail", IF(J28 &lt; 3, "Margin 부족", "Pass")))</f>
        <v>Pass</v>
      </c>
      <c r="M28" s="38" t="s">
        <v>10</v>
      </c>
    </row>
    <row r="29" spans="1:16" ht="21.9" customHeight="1" x14ac:dyDescent="0.4">
      <c r="A29" s="108"/>
      <c r="B29" s="4"/>
      <c r="C29" s="4"/>
      <c r="D29" s="4"/>
      <c r="E29" s="13" t="s">
        <v>0</v>
      </c>
      <c r="F29" s="109"/>
      <c r="G29" s="42"/>
      <c r="H29" s="44"/>
      <c r="I29" s="110"/>
      <c r="J29" s="112"/>
      <c r="K29" s="113"/>
      <c r="L29" s="106"/>
      <c r="M29" s="107"/>
      <c r="N29" s="8" t="s">
        <v>7</v>
      </c>
    </row>
    <row r="30" spans="1:16" ht="21.9" customHeight="1" x14ac:dyDescent="0.4">
      <c r="A30" s="102">
        <f>I7*5</f>
        <v>0</v>
      </c>
      <c r="B30" s="4"/>
      <c r="C30" s="4"/>
      <c r="D30" s="4"/>
      <c r="E30" s="13" t="s">
        <v>1</v>
      </c>
      <c r="F30" s="40">
        <f>$A$30</f>
        <v>0</v>
      </c>
      <c r="G30" s="42" t="str">
        <f>IF(COUNT(B30:D30)=0, "H", IF(COUNT(B31:D31)=0, "V", IF(MAX(B30:D30) &gt;= MAX(B31:D31), "V", "H")))</f>
        <v>H</v>
      </c>
      <c r="H30" s="44">
        <f>MAX(B30:D31)</f>
        <v>0</v>
      </c>
      <c r="I30" s="110">
        <v>-30</v>
      </c>
      <c r="J30" s="111" t="str">
        <f t="shared" ref="J30" si="2">IF(OR(I30-H30&gt;10,I30-H30=-30),"No Peak Found",I30-H30)</f>
        <v>No Peak Found</v>
      </c>
      <c r="K30" s="113" t="s">
        <v>8</v>
      </c>
      <c r="L30" s="105" t="str">
        <f>IF(OR(COUNTIF(B30:D31, "-")+COUNTBLANK(B30:D31)=6), "Pass", IF(H30 &gt; I30, "Fail", IF(J30 &lt; 3, "Margin 부족", "Pass")))</f>
        <v>Pass</v>
      </c>
      <c r="M30" s="38" t="s">
        <v>10</v>
      </c>
      <c r="N30" s="82" t="str">
        <f>"1. LTE Band : " &amp; VALUE(RIGHT(A7, LEN(A7)-1))</f>
        <v>1. LTE Band : 7</v>
      </c>
      <c r="O30" s="83"/>
      <c r="P30" s="83"/>
    </row>
    <row r="31" spans="1:16" ht="21.9" customHeight="1" thickBot="1" x14ac:dyDescent="0.45">
      <c r="A31" s="103"/>
      <c r="B31" s="4"/>
      <c r="C31" s="4"/>
      <c r="D31" s="4"/>
      <c r="E31" s="14" t="s">
        <v>29</v>
      </c>
      <c r="F31" s="41"/>
      <c r="G31" s="43"/>
      <c r="H31" s="45"/>
      <c r="I31" s="114"/>
      <c r="J31" s="115"/>
      <c r="K31" s="116"/>
      <c r="L31" s="117"/>
      <c r="M31" s="39"/>
      <c r="N31" s="84" t="str">
        <f>"2. The test was performed the " &amp; H7 &amp; " antenna."</f>
        <v>2. The test was performed the  antenna.</v>
      </c>
      <c r="O31" s="85"/>
      <c r="P31" s="85"/>
    </row>
    <row r="32" spans="1:16" ht="24.9" customHeight="1" x14ac:dyDescent="0.4">
      <c r="A32" s="86" t="s">
        <v>13</v>
      </c>
      <c r="B32" s="87"/>
      <c r="C32" s="87"/>
      <c r="D32" s="87"/>
      <c r="E32" s="88"/>
      <c r="F32" s="90" t="s">
        <v>41</v>
      </c>
      <c r="G32" s="90"/>
      <c r="H32" s="90"/>
      <c r="I32" s="90"/>
      <c r="J32" s="90"/>
      <c r="K32" s="90"/>
      <c r="L32" s="90"/>
      <c r="M32" s="91"/>
    </row>
    <row r="33" spans="1:13" ht="24.9" customHeight="1" x14ac:dyDescent="0.4">
      <c r="A33" s="89"/>
      <c r="B33" s="87"/>
      <c r="C33" s="87"/>
      <c r="D33" s="87"/>
      <c r="E33" s="88"/>
      <c r="F33" s="92"/>
      <c r="G33" s="92"/>
      <c r="H33" s="92"/>
      <c r="I33" s="92"/>
      <c r="J33" s="92"/>
      <c r="K33" s="92"/>
      <c r="L33" s="92"/>
      <c r="M33" s="93"/>
    </row>
    <row r="34" spans="1:13" ht="21.9" customHeight="1" thickBot="1" x14ac:dyDescent="0.45">
      <c r="A34" s="94" t="s">
        <v>5</v>
      </c>
      <c r="B34" s="95"/>
      <c r="C34" s="95"/>
      <c r="D34" s="95"/>
      <c r="E34" s="96"/>
      <c r="F34" s="97" t="s">
        <v>5</v>
      </c>
      <c r="G34" s="97"/>
      <c r="H34" s="97"/>
      <c r="I34" s="97"/>
      <c r="J34" s="97"/>
      <c r="K34" s="97"/>
      <c r="L34" s="97"/>
      <c r="M34" s="97"/>
    </row>
    <row r="35" spans="1:13" ht="21.9" customHeight="1" thickTop="1" x14ac:dyDescent="0.4">
      <c r="A35" s="60" t="s">
        <v>44</v>
      </c>
      <c r="B35" s="62" t="s">
        <v>15</v>
      </c>
      <c r="C35" s="62" t="s">
        <v>16</v>
      </c>
      <c r="D35" s="62" t="s">
        <v>17</v>
      </c>
      <c r="E35" s="98" t="s">
        <v>18</v>
      </c>
      <c r="F35" s="60" t="s">
        <v>44</v>
      </c>
      <c r="G35" s="100" t="s">
        <v>18</v>
      </c>
      <c r="H35" s="100" t="s">
        <v>30</v>
      </c>
      <c r="I35" s="72" t="s">
        <v>42</v>
      </c>
      <c r="J35" s="74" t="s">
        <v>43</v>
      </c>
      <c r="K35" s="76" t="s">
        <v>9</v>
      </c>
      <c r="L35" s="78" t="s">
        <v>19</v>
      </c>
      <c r="M35" s="80" t="s">
        <v>7</v>
      </c>
    </row>
    <row r="36" spans="1:13" ht="21.9" customHeight="1" x14ac:dyDescent="0.4">
      <c r="A36" s="61"/>
      <c r="B36" s="63"/>
      <c r="C36" s="63"/>
      <c r="D36" s="63"/>
      <c r="E36" s="99"/>
      <c r="F36" s="61"/>
      <c r="G36" s="101"/>
      <c r="H36" s="101"/>
      <c r="I36" s="73"/>
      <c r="J36" s="75"/>
      <c r="K36" s="77"/>
      <c r="L36" s="79"/>
      <c r="M36" s="81"/>
    </row>
    <row r="37" spans="1:13" ht="21.9" customHeight="1" x14ac:dyDescent="0.4">
      <c r="A37" s="46" t="s">
        <v>27</v>
      </c>
      <c r="B37" s="10"/>
      <c r="C37" s="1"/>
      <c r="D37" s="1"/>
      <c r="E37" s="11" t="s">
        <v>28</v>
      </c>
      <c r="F37" s="48" t="str">
        <f>A37</f>
        <v>Spurious</v>
      </c>
      <c r="G37" s="50" t="str">
        <f>IF(COUNT(B37:D37)=0, "H", IF(COUNT(B38:D38)=0, "V", IF(MAX(B37:D37) &gt;= MAX(B38:D38), "V", "H")))</f>
        <v>H</v>
      </c>
      <c r="H37" s="52">
        <f>MAX(B37:D38)</f>
        <v>0</v>
      </c>
      <c r="I37" s="54">
        <v>-57</v>
      </c>
      <c r="J37" s="64" t="str">
        <f>IF(OR(I37-H37&gt;10,I37-H37=-57),"No Peak Found",I37-H37)</f>
        <v>No Peak Found</v>
      </c>
      <c r="K37" s="66" t="s">
        <v>8</v>
      </c>
      <c r="L37" s="68" t="str">
        <f>IF(OR(COUNTIF(B37:D38, "-")+COUNTBLANK(B37:D38)=6), "Pass", IF(H37 &gt; I37, "Fail", IF(J37 &lt; 3, "Margin 부족", "Pass")))</f>
        <v>Pass</v>
      </c>
      <c r="M37" s="70" t="s">
        <v>11</v>
      </c>
    </row>
    <row r="38" spans="1:13" ht="21.9" customHeight="1" thickBot="1" x14ac:dyDescent="0.45">
      <c r="A38" s="47"/>
      <c r="B38" s="2"/>
      <c r="C38" s="2"/>
      <c r="D38" s="2"/>
      <c r="E38" s="12" t="s">
        <v>29</v>
      </c>
      <c r="F38" s="49"/>
      <c r="G38" s="51"/>
      <c r="H38" s="53"/>
      <c r="I38" s="55"/>
      <c r="J38" s="65"/>
      <c r="K38" s="67"/>
      <c r="L38" s="69"/>
      <c r="M38" s="71"/>
    </row>
    <row r="39" spans="1:13" ht="21.9" customHeight="1" thickBot="1" x14ac:dyDescent="0.45">
      <c r="A39" s="56" t="s">
        <v>34</v>
      </c>
      <c r="B39" s="57"/>
      <c r="C39" s="57"/>
      <c r="D39" s="57"/>
      <c r="E39" s="58"/>
      <c r="F39" s="59" t="s">
        <v>34</v>
      </c>
      <c r="G39" s="59"/>
      <c r="H39" s="59"/>
      <c r="I39" s="59"/>
      <c r="J39" s="59"/>
      <c r="K39" s="59"/>
      <c r="L39" s="59"/>
      <c r="M39" s="59"/>
    </row>
    <row r="40" spans="1:13" ht="21.9" customHeight="1" thickTop="1" x14ac:dyDescent="0.4">
      <c r="A40" s="60" t="s">
        <v>44</v>
      </c>
      <c r="B40" s="62" t="s">
        <v>15</v>
      </c>
      <c r="C40" s="62" t="s">
        <v>16</v>
      </c>
      <c r="D40" s="62" t="s">
        <v>17</v>
      </c>
      <c r="E40" s="98" t="s">
        <v>18</v>
      </c>
      <c r="F40" s="60" t="s">
        <v>44</v>
      </c>
      <c r="G40" s="100" t="s">
        <v>18</v>
      </c>
      <c r="H40" s="100" t="s">
        <v>30</v>
      </c>
      <c r="I40" s="72" t="s">
        <v>42</v>
      </c>
      <c r="J40" s="74" t="s">
        <v>43</v>
      </c>
      <c r="K40" s="76" t="s">
        <v>9</v>
      </c>
      <c r="L40" s="78" t="s">
        <v>19</v>
      </c>
      <c r="M40" s="80" t="s">
        <v>7</v>
      </c>
    </row>
    <row r="41" spans="1:13" ht="21.9" customHeight="1" x14ac:dyDescent="0.4">
      <c r="A41" s="61"/>
      <c r="B41" s="63"/>
      <c r="C41" s="63"/>
      <c r="D41" s="63"/>
      <c r="E41" s="99"/>
      <c r="F41" s="61"/>
      <c r="G41" s="101"/>
      <c r="H41" s="101"/>
      <c r="I41" s="73"/>
      <c r="J41" s="75"/>
      <c r="K41" s="77"/>
      <c r="L41" s="79"/>
      <c r="M41" s="81"/>
    </row>
    <row r="42" spans="1:13" ht="21.9" customHeight="1" x14ac:dyDescent="0.4">
      <c r="A42" s="46" t="s">
        <v>27</v>
      </c>
      <c r="B42" s="10"/>
      <c r="C42" s="1"/>
      <c r="D42" s="1"/>
      <c r="E42" s="11" t="s">
        <v>28</v>
      </c>
      <c r="F42" s="48" t="str">
        <f>A42</f>
        <v>Spurious</v>
      </c>
      <c r="G42" s="50" t="str">
        <f>IF(COUNT(B42:D42)=0, "H", IF(COUNT(B43:D43)=0, "V", IF(MAX(B42:D42) &gt;= MAX(B43:D43), "V", "H")))</f>
        <v>H</v>
      </c>
      <c r="H42" s="52">
        <f>MAX(B42:D43)</f>
        <v>0</v>
      </c>
      <c r="I42" s="54">
        <v>-47</v>
      </c>
      <c r="J42" s="64" t="str">
        <f>IF(OR(I42-H42&gt;10,I42-H42=-47),"No Peak Found",I42-H42)</f>
        <v>No Peak Found</v>
      </c>
      <c r="K42" s="66" t="s">
        <v>8</v>
      </c>
      <c r="L42" s="68" t="str">
        <f>IF(OR(COUNTIF(B42:D43, "-")+COUNTBLANK(B42:D43)=6), "Pass", IF(H42 &gt; I42, "Fail", IF(J42 &lt; 3, "Margin 부족", "Pass")))</f>
        <v>Pass</v>
      </c>
      <c r="M42" s="70" t="s">
        <v>11</v>
      </c>
    </row>
    <row r="43" spans="1:13" ht="21.9" customHeight="1" thickBot="1" x14ac:dyDescent="0.45">
      <c r="A43" s="47"/>
      <c r="B43" s="2"/>
      <c r="C43" s="2"/>
      <c r="D43" s="2"/>
      <c r="E43" s="12" t="s">
        <v>29</v>
      </c>
      <c r="F43" s="49"/>
      <c r="G43" s="51"/>
      <c r="H43" s="53"/>
      <c r="I43" s="55"/>
      <c r="J43" s="65"/>
      <c r="K43" s="67"/>
      <c r="L43" s="69"/>
      <c r="M43" s="71"/>
    </row>
    <row r="44" spans="1:13" ht="21.9" customHeight="1" x14ac:dyDescent="0.4"/>
  </sheetData>
  <mergeCells count="177">
    <mergeCell ref="B1:D1"/>
    <mergeCell ref="E1:F2"/>
    <mergeCell ref="G1:M1"/>
    <mergeCell ref="B2:D2"/>
    <mergeCell ref="G2:M2"/>
    <mergeCell ref="A3:M4"/>
    <mergeCell ref="H7:H8"/>
    <mergeCell ref="I7:M8"/>
    <mergeCell ref="A9:E10"/>
    <mergeCell ref="F9:M10"/>
    <mergeCell ref="A11:E11"/>
    <mergeCell ref="F11:M11"/>
    <mergeCell ref="G5:G6"/>
    <mergeCell ref="H5:H6"/>
    <mergeCell ref="I5:M6"/>
    <mergeCell ref="A7:A8"/>
    <mergeCell ref="B7:B8"/>
    <mergeCell ref="C7:C8"/>
    <mergeCell ref="D7:D8"/>
    <mergeCell ref="E7:E8"/>
    <mergeCell ref="F7:F8"/>
    <mergeCell ref="G7:G8"/>
    <mergeCell ref="A5:A6"/>
    <mergeCell ref="B5:B6"/>
    <mergeCell ref="C5:C6"/>
    <mergeCell ref="D5:D6"/>
    <mergeCell ref="E5:E6"/>
    <mergeCell ref="F5:F6"/>
    <mergeCell ref="M12:M13"/>
    <mergeCell ref="A14:A15"/>
    <mergeCell ref="F14:F15"/>
    <mergeCell ref="G14:G15"/>
    <mergeCell ref="H14:H15"/>
    <mergeCell ref="I14:I15"/>
    <mergeCell ref="J14:J15"/>
    <mergeCell ref="K14:K15"/>
    <mergeCell ref="L14:L15"/>
    <mergeCell ref="M14:M15"/>
    <mergeCell ref="G12:G13"/>
    <mergeCell ref="H12:H13"/>
    <mergeCell ref="I12:I13"/>
    <mergeCell ref="J12:J13"/>
    <mergeCell ref="K12:K13"/>
    <mergeCell ref="L12:L13"/>
    <mergeCell ref="A12:A13"/>
    <mergeCell ref="B12:B13"/>
    <mergeCell ref="C12:C13"/>
    <mergeCell ref="D12:D13"/>
    <mergeCell ref="E12:E13"/>
    <mergeCell ref="F12:F13"/>
    <mergeCell ref="A16:E16"/>
    <mergeCell ref="F16:M16"/>
    <mergeCell ref="A17:A18"/>
    <mergeCell ref="B17:B18"/>
    <mergeCell ref="C17:C18"/>
    <mergeCell ref="D17:D18"/>
    <mergeCell ref="E17:E18"/>
    <mergeCell ref="F17:F18"/>
    <mergeCell ref="G17:G18"/>
    <mergeCell ref="H17:H18"/>
    <mergeCell ref="J19:J20"/>
    <mergeCell ref="K19:K20"/>
    <mergeCell ref="L19:L20"/>
    <mergeCell ref="M19:M20"/>
    <mergeCell ref="A21:E21"/>
    <mergeCell ref="F21:M21"/>
    <mergeCell ref="I17:I18"/>
    <mergeCell ref="J17:J18"/>
    <mergeCell ref="K17:K18"/>
    <mergeCell ref="L17:L18"/>
    <mergeCell ref="M17:M18"/>
    <mergeCell ref="A19:A20"/>
    <mergeCell ref="F19:F20"/>
    <mergeCell ref="G19:G20"/>
    <mergeCell ref="H19:H20"/>
    <mergeCell ref="I19:I20"/>
    <mergeCell ref="M22:M23"/>
    <mergeCell ref="A24:A25"/>
    <mergeCell ref="F24:F25"/>
    <mergeCell ref="G24:G25"/>
    <mergeCell ref="H24:H25"/>
    <mergeCell ref="I24:I25"/>
    <mergeCell ref="J24:J25"/>
    <mergeCell ref="K24:K25"/>
    <mergeCell ref="L24:L25"/>
    <mergeCell ref="M24:M25"/>
    <mergeCell ref="G22:G23"/>
    <mergeCell ref="H22:H23"/>
    <mergeCell ref="I22:I23"/>
    <mergeCell ref="J22:J23"/>
    <mergeCell ref="K22:K23"/>
    <mergeCell ref="L22:L23"/>
    <mergeCell ref="A22:A23"/>
    <mergeCell ref="B22:B23"/>
    <mergeCell ref="C22:C23"/>
    <mergeCell ref="D22:D23"/>
    <mergeCell ref="E22:E23"/>
    <mergeCell ref="F22:F23"/>
    <mergeCell ref="K26:K27"/>
    <mergeCell ref="L26:L27"/>
    <mergeCell ref="M26:M27"/>
    <mergeCell ref="A28:A29"/>
    <mergeCell ref="F28:F29"/>
    <mergeCell ref="G28:G29"/>
    <mergeCell ref="H28:H29"/>
    <mergeCell ref="I28:I29"/>
    <mergeCell ref="J28:J29"/>
    <mergeCell ref="K28:K29"/>
    <mergeCell ref="A26:A27"/>
    <mergeCell ref="F26:F27"/>
    <mergeCell ref="G26:G27"/>
    <mergeCell ref="H26:H27"/>
    <mergeCell ref="I26:I27"/>
    <mergeCell ref="J26:J27"/>
    <mergeCell ref="M30:M31"/>
    <mergeCell ref="N30:P30"/>
    <mergeCell ref="N31:P31"/>
    <mergeCell ref="A32:E33"/>
    <mergeCell ref="F32:M33"/>
    <mergeCell ref="A34:E34"/>
    <mergeCell ref="F34:M34"/>
    <mergeCell ref="L28:L29"/>
    <mergeCell ref="M28:M29"/>
    <mergeCell ref="A30:A31"/>
    <mergeCell ref="F30:F31"/>
    <mergeCell ref="G30:G31"/>
    <mergeCell ref="H30:H31"/>
    <mergeCell ref="I30:I31"/>
    <mergeCell ref="J30:J31"/>
    <mergeCell ref="K30:K31"/>
    <mergeCell ref="L30:L31"/>
    <mergeCell ref="M35:M36"/>
    <mergeCell ref="A37:A38"/>
    <mergeCell ref="F37:F38"/>
    <mergeCell ref="G37:G38"/>
    <mergeCell ref="H37:H38"/>
    <mergeCell ref="I37:I38"/>
    <mergeCell ref="J37:J38"/>
    <mergeCell ref="K37:K38"/>
    <mergeCell ref="L37:L38"/>
    <mergeCell ref="M37:M38"/>
    <mergeCell ref="G35:G36"/>
    <mergeCell ref="H35:H36"/>
    <mergeCell ref="I35:I36"/>
    <mergeCell ref="J35:J36"/>
    <mergeCell ref="K35:K36"/>
    <mergeCell ref="L35:L36"/>
    <mergeCell ref="A35:A36"/>
    <mergeCell ref="B35:B36"/>
    <mergeCell ref="C35:C36"/>
    <mergeCell ref="D35:D36"/>
    <mergeCell ref="E35:E36"/>
    <mergeCell ref="F35:F36"/>
    <mergeCell ref="A42:A43"/>
    <mergeCell ref="F42:F43"/>
    <mergeCell ref="G42:G43"/>
    <mergeCell ref="H42:H43"/>
    <mergeCell ref="I42:I43"/>
    <mergeCell ref="A39:E39"/>
    <mergeCell ref="F39:M39"/>
    <mergeCell ref="A40:A41"/>
    <mergeCell ref="B40:B41"/>
    <mergeCell ref="C40:C41"/>
    <mergeCell ref="D40:D41"/>
    <mergeCell ref="E40:E41"/>
    <mergeCell ref="F40:F41"/>
    <mergeCell ref="G40:G41"/>
    <mergeCell ref="H40:H41"/>
    <mergeCell ref="J42:J43"/>
    <mergeCell ref="K42:K43"/>
    <mergeCell ref="L42:L43"/>
    <mergeCell ref="M42:M43"/>
    <mergeCell ref="I40:I41"/>
    <mergeCell ref="J40:J41"/>
    <mergeCell ref="K40:K41"/>
    <mergeCell ref="L40:L41"/>
    <mergeCell ref="M40:M41"/>
  </mergeCells>
  <phoneticPr fontId="1" type="noConversion"/>
  <conditionalFormatting sqref="J14 J19">
    <cfRule type="cellIs" dxfId="214" priority="22" operator="lessThan">
      <formula>10</formula>
    </cfRule>
  </conditionalFormatting>
  <conditionalFormatting sqref="J14">
    <cfRule type="cellIs" dxfId="213" priority="21" operator="equal">
      <formula>-36</formula>
    </cfRule>
  </conditionalFormatting>
  <conditionalFormatting sqref="L14 L19">
    <cfRule type="cellIs" dxfId="212" priority="20" operator="equal">
      <formula>"Fail"</formula>
    </cfRule>
  </conditionalFormatting>
  <conditionalFormatting sqref="L24">
    <cfRule type="cellIs" dxfId="211" priority="19" operator="equal">
      <formula>"Fail"</formula>
    </cfRule>
  </conditionalFormatting>
  <conditionalFormatting sqref="L26">
    <cfRule type="cellIs" dxfId="210" priority="18" operator="equal">
      <formula>"Fail"</formula>
    </cfRule>
  </conditionalFormatting>
  <conditionalFormatting sqref="L28">
    <cfRule type="cellIs" dxfId="209" priority="17" operator="equal">
      <formula>"Fail"</formula>
    </cfRule>
  </conditionalFormatting>
  <conditionalFormatting sqref="L30">
    <cfRule type="cellIs" dxfId="208" priority="16" operator="equal">
      <formula>"Fail"</formula>
    </cfRule>
  </conditionalFormatting>
  <conditionalFormatting sqref="V33">
    <cfRule type="cellIs" dxfId="207" priority="15" operator="equal">
      <formula>"Fail"</formula>
    </cfRule>
  </conditionalFormatting>
  <conditionalFormatting sqref="L14:L15 L19:L20 L24:L31">
    <cfRule type="cellIs" dxfId="206" priority="14" operator="equal">
      <formula>"Pass"</formula>
    </cfRule>
  </conditionalFormatting>
  <conditionalFormatting sqref="L37">
    <cfRule type="cellIs" dxfId="205" priority="13" operator="equal">
      <formula>"Fail"</formula>
    </cfRule>
  </conditionalFormatting>
  <conditionalFormatting sqref="L37:L38">
    <cfRule type="cellIs" dxfId="204" priority="12" operator="equal">
      <formula>"Pass"</formula>
    </cfRule>
  </conditionalFormatting>
  <conditionalFormatting sqref="L42">
    <cfRule type="cellIs" dxfId="203" priority="11" operator="equal">
      <formula>"Fail"</formula>
    </cfRule>
  </conditionalFormatting>
  <conditionalFormatting sqref="L42:L43">
    <cfRule type="cellIs" dxfId="202" priority="10" operator="equal">
      <formula>"Pass"</formula>
    </cfRule>
  </conditionalFormatting>
  <conditionalFormatting sqref="B14:D15">
    <cfRule type="top10" dxfId="201" priority="9" rank="1"/>
  </conditionalFormatting>
  <conditionalFormatting sqref="B19:D20">
    <cfRule type="top10" dxfId="200" priority="8" rank="1"/>
  </conditionalFormatting>
  <conditionalFormatting sqref="B24:D25">
    <cfRule type="top10" dxfId="199" priority="7" rank="1"/>
  </conditionalFormatting>
  <conditionalFormatting sqref="J24 J26 J28 J30">
    <cfRule type="expression" dxfId="198" priority="4">
      <formula>J24=-30</formula>
    </cfRule>
    <cfRule type="expression" dxfId="197" priority="5">
      <formula>AND(J24&lt;&gt;-30,J24&lt;=3)</formula>
    </cfRule>
    <cfRule type="expression" dxfId="196" priority="6">
      <formula>AND(J24&gt;3,J24&lt;10)</formula>
    </cfRule>
  </conditionalFormatting>
  <conditionalFormatting sqref="B26:D27">
    <cfRule type="top10" dxfId="195" priority="3" rank="1"/>
  </conditionalFormatting>
  <conditionalFormatting sqref="B28:D29">
    <cfRule type="top10" dxfId="194" priority="2" rank="1"/>
  </conditionalFormatting>
  <conditionalFormatting sqref="B30:D31">
    <cfRule type="top10" dxfId="193" priority="1" rank="1"/>
  </conditionalFormatting>
  <dataValidations count="1">
    <dataValidation type="list" allowBlank="1" showInputMessage="1" showErrorMessage="1" sqref="M14 M19 M30 M24 M26 M28 M42:M43 M37:M38" xr:uid="{BD97006C-8C0F-46A7-A053-7C92E19D42E5}">
      <formula1>"Fundamental, Harmonic, Noise Floor, -"</formula1>
    </dataValidation>
  </dataValidations>
  <pageMargins left="0.7" right="0.7" top="0.75" bottom="0.75" header="0.3" footer="0.3"/>
  <pageSetup paperSize="9" scale="27" orientation="portrait" r:id="rId1"/>
  <colBreaks count="1" manualBreakCount="1">
    <brk id="13" max="42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F146EE-4D7B-4B7A-B8DE-89984AEBF19D}">
  <dimension ref="A1:P39"/>
  <sheetViews>
    <sheetView view="pageBreakPreview" zoomScale="85" zoomScaleNormal="100" zoomScaleSheetLayoutView="85" workbookViewId="0"/>
  </sheetViews>
  <sheetFormatPr defaultRowHeight="17.399999999999999" outlineLevelCol="1" x14ac:dyDescent="0.4"/>
  <cols>
    <col min="1" max="11" width="12.59765625" style="6" customWidth="1"/>
    <col min="12" max="13" width="12.59765625" hidden="1" customWidth="1" outlineLevel="1"/>
    <col min="14" max="14" width="12.59765625" customWidth="1" collapsed="1"/>
    <col min="15" max="22" width="12.59765625" customWidth="1"/>
  </cols>
  <sheetData>
    <row r="1" spans="1:13" ht="20.100000000000001" customHeight="1" x14ac:dyDescent="0.4">
      <c r="A1" s="5" t="s">
        <v>14</v>
      </c>
      <c r="B1" s="188"/>
      <c r="C1" s="189"/>
      <c r="D1" s="190"/>
      <c r="E1" s="191" t="s">
        <v>35</v>
      </c>
      <c r="F1" s="192"/>
      <c r="G1" s="188" t="s">
        <v>36</v>
      </c>
      <c r="H1" s="189"/>
      <c r="I1" s="189"/>
      <c r="J1" s="189"/>
      <c r="K1" s="189"/>
      <c r="L1" s="189"/>
      <c r="M1" s="190"/>
    </row>
    <row r="2" spans="1:13" ht="20.100000000000001" customHeight="1" thickBot="1" x14ac:dyDescent="0.45">
      <c r="A2" s="18" t="s">
        <v>47</v>
      </c>
      <c r="B2" s="195"/>
      <c r="C2" s="196"/>
      <c r="D2" s="197"/>
      <c r="E2" s="193"/>
      <c r="F2" s="194"/>
      <c r="G2" s="195" t="s">
        <v>45</v>
      </c>
      <c r="H2" s="196"/>
      <c r="I2" s="196"/>
      <c r="J2" s="196"/>
      <c r="K2" s="196"/>
      <c r="L2" s="196"/>
      <c r="M2" s="197"/>
    </row>
    <row r="3" spans="1:13" ht="24.9" customHeight="1" x14ac:dyDescent="0.4">
      <c r="A3" s="198" t="s">
        <v>48</v>
      </c>
      <c r="B3" s="199"/>
      <c r="C3" s="199"/>
      <c r="D3" s="199"/>
      <c r="E3" s="199"/>
      <c r="F3" s="199"/>
      <c r="G3" s="199"/>
      <c r="H3" s="199"/>
      <c r="I3" s="199"/>
      <c r="J3" s="199"/>
      <c r="K3" s="199"/>
      <c r="L3" s="199"/>
      <c r="M3" s="200"/>
    </row>
    <row r="4" spans="1:13" ht="24.9" customHeight="1" thickBot="1" x14ac:dyDescent="0.45">
      <c r="A4" s="201"/>
      <c r="B4" s="202"/>
      <c r="C4" s="202"/>
      <c r="D4" s="202"/>
      <c r="E4" s="202"/>
      <c r="F4" s="202"/>
      <c r="G4" s="202"/>
      <c r="H4" s="202"/>
      <c r="I4" s="202"/>
      <c r="J4" s="202"/>
      <c r="K4" s="202"/>
      <c r="L4" s="202"/>
      <c r="M4" s="203"/>
    </row>
    <row r="5" spans="1:13" ht="24.9" customHeight="1" x14ac:dyDescent="0.4">
      <c r="A5" s="186" t="s">
        <v>20</v>
      </c>
      <c r="B5" s="278" t="s">
        <v>23</v>
      </c>
      <c r="C5" s="274" t="s">
        <v>25</v>
      </c>
      <c r="D5" s="274" t="s">
        <v>21</v>
      </c>
      <c r="E5" s="274" t="s">
        <v>22</v>
      </c>
      <c r="F5" s="274" t="s">
        <v>26</v>
      </c>
      <c r="G5" s="272" t="s">
        <v>38</v>
      </c>
      <c r="H5" s="274" t="s">
        <v>37</v>
      </c>
      <c r="I5" s="281" t="s">
        <v>39</v>
      </c>
      <c r="J5" s="207"/>
      <c r="K5" s="207"/>
      <c r="L5" s="207"/>
      <c r="M5" s="282"/>
    </row>
    <row r="6" spans="1:13" ht="20.100000000000001" customHeight="1" x14ac:dyDescent="0.4">
      <c r="A6" s="187"/>
      <c r="B6" s="279"/>
      <c r="C6" s="275"/>
      <c r="D6" s="275"/>
      <c r="E6" s="275"/>
      <c r="F6" s="275"/>
      <c r="G6" s="273"/>
      <c r="H6" s="275"/>
      <c r="I6" s="283"/>
      <c r="J6" s="284"/>
      <c r="K6" s="284"/>
      <c r="L6" s="284"/>
      <c r="M6" s="285"/>
    </row>
    <row r="7" spans="1:13" ht="20.100000000000001" customHeight="1" x14ac:dyDescent="0.4">
      <c r="A7" s="204" t="s">
        <v>59</v>
      </c>
      <c r="B7" s="276"/>
      <c r="C7" s="264"/>
      <c r="D7" s="264"/>
      <c r="E7" s="263"/>
      <c r="F7" s="263"/>
      <c r="G7" s="263">
        <v>15</v>
      </c>
      <c r="H7" s="264"/>
      <c r="I7" s="292"/>
      <c r="J7" s="293"/>
      <c r="K7" s="293"/>
      <c r="L7" s="293"/>
      <c r="M7" s="294"/>
    </row>
    <row r="8" spans="1:13" ht="20.100000000000001" customHeight="1" thickBot="1" x14ac:dyDescent="0.45">
      <c r="A8" s="205"/>
      <c r="B8" s="277"/>
      <c r="C8" s="265"/>
      <c r="D8" s="265"/>
      <c r="E8" s="264"/>
      <c r="F8" s="264"/>
      <c r="G8" s="264"/>
      <c r="H8" s="265"/>
      <c r="I8" s="295"/>
      <c r="J8" s="296"/>
      <c r="K8" s="296"/>
      <c r="L8" s="296"/>
      <c r="M8" s="297"/>
    </row>
    <row r="9" spans="1:13" ht="24.9" customHeight="1" x14ac:dyDescent="0.4">
      <c r="A9" s="174" t="s">
        <v>12</v>
      </c>
      <c r="B9" s="175"/>
      <c r="C9" s="175"/>
      <c r="D9" s="175"/>
      <c r="E9" s="178"/>
      <c r="F9" s="271" t="s">
        <v>40</v>
      </c>
      <c r="G9" s="267"/>
      <c r="H9" s="267"/>
      <c r="I9" s="267"/>
      <c r="J9" s="267"/>
      <c r="K9" s="267"/>
      <c r="L9" s="267"/>
      <c r="M9" s="268"/>
    </row>
    <row r="10" spans="1:13" ht="24.9" customHeight="1" x14ac:dyDescent="0.4">
      <c r="A10" s="176"/>
      <c r="B10" s="177"/>
      <c r="C10" s="177"/>
      <c r="D10" s="177"/>
      <c r="E10" s="254"/>
      <c r="F10" s="177"/>
      <c r="G10" s="177"/>
      <c r="H10" s="177"/>
      <c r="I10" s="177"/>
      <c r="J10" s="177"/>
      <c r="K10" s="177"/>
      <c r="L10" s="177"/>
      <c r="M10" s="270"/>
    </row>
    <row r="11" spans="1:13" ht="21.9" customHeight="1" thickBot="1" x14ac:dyDescent="0.45">
      <c r="A11" s="255" t="s">
        <v>6</v>
      </c>
      <c r="B11" s="256"/>
      <c r="C11" s="256"/>
      <c r="D11" s="256"/>
      <c r="E11" s="257"/>
      <c r="F11" s="256" t="s">
        <v>6</v>
      </c>
      <c r="G11" s="256"/>
      <c r="H11" s="256"/>
      <c r="I11" s="256"/>
      <c r="J11" s="59"/>
      <c r="K11" s="256"/>
      <c r="L11" s="256"/>
      <c r="M11" s="258"/>
    </row>
    <row r="12" spans="1:13" ht="21.9" customHeight="1" thickTop="1" x14ac:dyDescent="0.4">
      <c r="A12" s="252" t="s">
        <v>44</v>
      </c>
      <c r="B12" s="62" t="s">
        <v>4</v>
      </c>
      <c r="C12" s="62" t="s">
        <v>16</v>
      </c>
      <c r="D12" s="62" t="s">
        <v>3</v>
      </c>
      <c r="E12" s="253" t="s">
        <v>2</v>
      </c>
      <c r="F12" s="146" t="s">
        <v>44</v>
      </c>
      <c r="G12" s="100" t="s">
        <v>18</v>
      </c>
      <c r="H12" s="100" t="s">
        <v>30</v>
      </c>
      <c r="I12" s="72" t="s">
        <v>42</v>
      </c>
      <c r="J12" s="74" t="s">
        <v>43</v>
      </c>
      <c r="K12" s="146" t="s">
        <v>9</v>
      </c>
      <c r="L12" s="224" t="s">
        <v>19</v>
      </c>
      <c r="M12" s="226" t="s">
        <v>7</v>
      </c>
    </row>
    <row r="13" spans="1:13" ht="21.9" customHeight="1" x14ac:dyDescent="0.4">
      <c r="A13" s="129"/>
      <c r="B13" s="63"/>
      <c r="C13" s="63"/>
      <c r="D13" s="63"/>
      <c r="E13" s="133"/>
      <c r="F13" s="147"/>
      <c r="G13" s="101"/>
      <c r="H13" s="101"/>
      <c r="I13" s="73"/>
      <c r="J13" s="75"/>
      <c r="K13" s="147"/>
      <c r="L13" s="225"/>
      <c r="M13" s="227"/>
    </row>
    <row r="14" spans="1:13" ht="21.9" customHeight="1" x14ac:dyDescent="0.4">
      <c r="A14" s="246" t="s">
        <v>27</v>
      </c>
      <c r="B14" s="3"/>
      <c r="C14" s="3"/>
      <c r="D14" s="3"/>
      <c r="E14" s="15" t="s">
        <v>28</v>
      </c>
      <c r="F14" s="248" t="str">
        <f>A14</f>
        <v>Spurious</v>
      </c>
      <c r="G14" s="42" t="str">
        <f>IF(COUNT(B14:D14)=0, "H", IF(COUNT(B15:D15)=0, "V", IF(MAX(B14:D14) &gt;= MAX(B15:D15), "V", "H")))</f>
        <v>H</v>
      </c>
      <c r="H14" s="44">
        <f>MAX(B14:D15)</f>
        <v>0</v>
      </c>
      <c r="I14" s="120">
        <v>-36</v>
      </c>
      <c r="J14" s="134" t="str">
        <f>IF(OR(I14-H14&gt;10,I14-H14=-36),"No Peak Found",I14-H14)</f>
        <v>No Peak Found</v>
      </c>
      <c r="K14" s="136" t="s">
        <v>8</v>
      </c>
      <c r="L14" s="220" t="str">
        <f>IF(OR(COUNTIF(B14:D15, "-")+COUNTBLANK(B14:D15)=6), "Pass", IF(H14 &gt; I14, "Fail", IF(J14 &lt; 3, "Margin 부족", "Pass")))</f>
        <v>Pass</v>
      </c>
      <c r="M14" s="250" t="s">
        <v>11</v>
      </c>
    </row>
    <row r="15" spans="1:13" ht="21.9" customHeight="1" thickBot="1" x14ac:dyDescent="0.45">
      <c r="A15" s="247"/>
      <c r="B15" s="16"/>
      <c r="C15" s="16"/>
      <c r="D15" s="16"/>
      <c r="E15" s="17" t="s">
        <v>29</v>
      </c>
      <c r="F15" s="249"/>
      <c r="G15" s="163"/>
      <c r="H15" s="164"/>
      <c r="I15" s="165"/>
      <c r="J15" s="135"/>
      <c r="K15" s="166"/>
      <c r="L15" s="221"/>
      <c r="M15" s="251"/>
    </row>
    <row r="16" spans="1:13" ht="21.9" customHeight="1" thickBot="1" x14ac:dyDescent="0.45">
      <c r="A16" s="240" t="s">
        <v>46</v>
      </c>
      <c r="B16" s="59"/>
      <c r="C16" s="59"/>
      <c r="D16" s="59"/>
      <c r="E16" s="59"/>
      <c r="F16" s="142" t="s">
        <v>46</v>
      </c>
      <c r="G16" s="143"/>
      <c r="H16" s="143"/>
      <c r="I16" s="143"/>
      <c r="J16" s="59"/>
      <c r="K16" s="143"/>
      <c r="L16" s="144"/>
      <c r="M16" s="145"/>
    </row>
    <row r="17" spans="1:16" ht="21.9" customHeight="1" thickTop="1" x14ac:dyDescent="0.4">
      <c r="A17" s="60" t="s">
        <v>44</v>
      </c>
      <c r="B17" s="62" t="s">
        <v>15</v>
      </c>
      <c r="C17" s="62" t="s">
        <v>16</v>
      </c>
      <c r="D17" s="62" t="s">
        <v>17</v>
      </c>
      <c r="E17" s="98" t="s">
        <v>18</v>
      </c>
      <c r="F17" s="241" t="s">
        <v>44</v>
      </c>
      <c r="G17" s="122" t="s">
        <v>18</v>
      </c>
      <c r="H17" s="122" t="s">
        <v>30</v>
      </c>
      <c r="I17" s="123" t="s">
        <v>42</v>
      </c>
      <c r="J17" s="74" t="s">
        <v>43</v>
      </c>
      <c r="K17" s="124" t="s">
        <v>9</v>
      </c>
      <c r="L17" s="242" t="s">
        <v>19</v>
      </c>
      <c r="M17" s="244" t="s">
        <v>7</v>
      </c>
    </row>
    <row r="18" spans="1:16" ht="21.75" customHeight="1" x14ac:dyDescent="0.4">
      <c r="A18" s="61"/>
      <c r="B18" s="131"/>
      <c r="C18" s="131"/>
      <c r="D18" s="131"/>
      <c r="E18" s="99"/>
      <c r="F18" s="147"/>
      <c r="G18" s="101"/>
      <c r="H18" s="101"/>
      <c r="I18" s="73"/>
      <c r="J18" s="75"/>
      <c r="K18" s="125"/>
      <c r="L18" s="243"/>
      <c r="M18" s="245"/>
    </row>
    <row r="19" spans="1:16" ht="21.9" customHeight="1" x14ac:dyDescent="0.4">
      <c r="A19" s="228">
        <f>I7*2</f>
        <v>0</v>
      </c>
      <c r="B19" s="4"/>
      <c r="C19" s="4"/>
      <c r="D19" s="4"/>
      <c r="E19" s="19" t="s">
        <v>1</v>
      </c>
      <c r="F19" s="237">
        <f>$A$19</f>
        <v>0</v>
      </c>
      <c r="G19" s="42" t="str">
        <f>IF(COUNT(B19:D19)=0, "H", IF(COUNT(B20:D20)=0, "V", IF(MAX(B19:D19) &gt;= MAX(B20:D20), "V", "H")))</f>
        <v>H</v>
      </c>
      <c r="H19" s="44">
        <f>MAX(B19:D20)</f>
        <v>0</v>
      </c>
      <c r="I19" s="120">
        <v>-30</v>
      </c>
      <c r="J19" s="111" t="str">
        <f>IF(OR(I19-H19&gt;10,I19-H19=-30),"No Peak Found",I19-H19)</f>
        <v>No Peak Found</v>
      </c>
      <c r="K19" s="121" t="s">
        <v>8</v>
      </c>
      <c r="L19" s="232" t="str">
        <f>IF(OR(COUNTIF(B19:D20, "-")+COUNTBLANK(B19:D20)=6), "Pass", IF(H19 &gt; I19, "Fail", IF(J19 &lt; 3, "Margin 부족", "Pass")))</f>
        <v>Pass</v>
      </c>
      <c r="M19" s="234" t="s">
        <v>10</v>
      </c>
    </row>
    <row r="20" spans="1:16" ht="21.9" customHeight="1" x14ac:dyDescent="0.4">
      <c r="A20" s="236"/>
      <c r="B20" s="4"/>
      <c r="C20" s="4"/>
      <c r="D20" s="4"/>
      <c r="E20" s="19" t="s">
        <v>0</v>
      </c>
      <c r="F20" s="237"/>
      <c r="G20" s="42"/>
      <c r="H20" s="44"/>
      <c r="I20" s="120"/>
      <c r="J20" s="112"/>
      <c r="K20" s="121"/>
      <c r="L20" s="238"/>
      <c r="M20" s="239"/>
    </row>
    <row r="21" spans="1:16" ht="21.9" customHeight="1" x14ac:dyDescent="0.4">
      <c r="A21" s="228">
        <f>I7*3</f>
        <v>0</v>
      </c>
      <c r="B21" s="4"/>
      <c r="C21" s="4"/>
      <c r="D21" s="4"/>
      <c r="E21" s="19" t="s">
        <v>1</v>
      </c>
      <c r="F21" s="230">
        <f>$A$21</f>
        <v>0</v>
      </c>
      <c r="G21" s="42" t="str">
        <f>IF(COUNT(B21:D21)=0, "H", IF(COUNT(B22:D22)=0, "V", IF(MAX(B21:D21) &gt;= MAX(B22:D22), "V", "H")))</f>
        <v>H</v>
      </c>
      <c r="H21" s="44">
        <f>MAX(B21:D22)</f>
        <v>0</v>
      </c>
      <c r="I21" s="110">
        <v>-30</v>
      </c>
      <c r="J21" s="111" t="str">
        <f t="shared" ref="J21" si="0">IF(OR(I21-H21&gt;10,I21-H21=-30),"No Peak Found",I21-H21)</f>
        <v>No Peak Found</v>
      </c>
      <c r="K21" s="104" t="s">
        <v>8</v>
      </c>
      <c r="L21" s="232" t="str">
        <f>IF(OR(COUNTIF(B21:D22, "-")+COUNTBLANK(B21:D22)=6), "Pass", IF(H21 &gt; I21, "Fail", IF(J21 &lt; 3, "Margin 부족", "Pass")))</f>
        <v>Pass</v>
      </c>
      <c r="M21" s="234" t="s">
        <v>10</v>
      </c>
    </row>
    <row r="22" spans="1:16" ht="21.9" customHeight="1" x14ac:dyDescent="0.4">
      <c r="A22" s="236"/>
      <c r="B22" s="4"/>
      <c r="C22" s="4"/>
      <c r="D22" s="4"/>
      <c r="E22" s="19" t="s">
        <v>0</v>
      </c>
      <c r="F22" s="230"/>
      <c r="G22" s="42"/>
      <c r="H22" s="44"/>
      <c r="I22" s="110"/>
      <c r="J22" s="112"/>
      <c r="K22" s="104"/>
      <c r="L22" s="238"/>
      <c r="M22" s="239"/>
    </row>
    <row r="23" spans="1:16" ht="21.9" customHeight="1" x14ac:dyDescent="0.4">
      <c r="A23" s="228">
        <f>I7*4</f>
        <v>0</v>
      </c>
      <c r="B23" s="4"/>
      <c r="C23" s="4"/>
      <c r="D23" s="4"/>
      <c r="E23" s="19" t="s">
        <v>1</v>
      </c>
      <c r="F23" s="237">
        <f>$A$23</f>
        <v>0</v>
      </c>
      <c r="G23" s="42" t="str">
        <f>IF(COUNT(B23:D23)=0, "H", IF(COUNT(B24:D24)=0, "V", IF(MAX(B23:D23) &gt;= MAX(B24:D24), "V", "H")))</f>
        <v>H</v>
      </c>
      <c r="H23" s="44">
        <f>MAX(B23:D24)</f>
        <v>0</v>
      </c>
      <c r="I23" s="110">
        <v>-30</v>
      </c>
      <c r="J23" s="111" t="str">
        <f t="shared" ref="J23" si="1">IF(OR(I23-H23&gt;10,I23-H23=-30),"No Peak Found",I23-H23)</f>
        <v>No Peak Found</v>
      </c>
      <c r="K23" s="113" t="s">
        <v>8</v>
      </c>
      <c r="L23" s="232" t="str">
        <f>IF(OR(COUNTIF(B23:D24, "-")+COUNTBLANK(B23:D24)=6), "Pass", IF(H23 &gt; I23, "Fail", IF(J23 &lt; 3, "Margin 부족", "Pass")))</f>
        <v>Pass</v>
      </c>
      <c r="M23" s="234" t="s">
        <v>10</v>
      </c>
    </row>
    <row r="24" spans="1:16" ht="21.9" customHeight="1" x14ac:dyDescent="0.4">
      <c r="A24" s="236"/>
      <c r="B24" s="4"/>
      <c r="C24" s="4"/>
      <c r="D24" s="4"/>
      <c r="E24" s="19" t="s">
        <v>0</v>
      </c>
      <c r="F24" s="237"/>
      <c r="G24" s="42"/>
      <c r="H24" s="44"/>
      <c r="I24" s="110"/>
      <c r="J24" s="112"/>
      <c r="K24" s="113"/>
      <c r="L24" s="238"/>
      <c r="M24" s="239"/>
      <c r="N24" s="8" t="s">
        <v>7</v>
      </c>
      <c r="O24" s="6"/>
      <c r="P24" s="6"/>
    </row>
    <row r="25" spans="1:16" ht="21.9" customHeight="1" x14ac:dyDescent="0.4">
      <c r="A25" s="228">
        <f>I7*5</f>
        <v>0</v>
      </c>
      <c r="B25" s="4"/>
      <c r="C25" s="4"/>
      <c r="D25" s="4"/>
      <c r="E25" s="19" t="s">
        <v>1</v>
      </c>
      <c r="F25" s="230">
        <f>$A$25</f>
        <v>0</v>
      </c>
      <c r="G25" s="42" t="str">
        <f>IF(COUNT(B25:D25)=0, "H", IF(COUNT(B26:D26)=0, "V", IF(MAX(B25:D25) &gt;= MAX(B26:D26), "V", "H")))</f>
        <v>H</v>
      </c>
      <c r="H25" s="44">
        <f>MAX(B25:D26)</f>
        <v>0</v>
      </c>
      <c r="I25" s="110">
        <v>-30</v>
      </c>
      <c r="J25" s="111" t="str">
        <f t="shared" ref="J25" si="2">IF(OR(I25-H25&gt;10,I25-H25=-30),"No Peak Found",I25-H25)</f>
        <v>No Peak Found</v>
      </c>
      <c r="K25" s="113" t="s">
        <v>8</v>
      </c>
      <c r="L25" s="232" t="str">
        <f>IF(OR(COUNTIF(B25:D26, "-")+COUNTBLANK(B25:D26)=6), "Pass", IF(H25 &gt; I25, "Fail", IF(J25 &lt; 3, "Margin 부족", "Pass")))</f>
        <v>Pass</v>
      </c>
      <c r="M25" s="234" t="s">
        <v>10</v>
      </c>
      <c r="N25" s="82" t="str">
        <f>"1. LTE Band : " &amp; VALUE(RIGHT(A7, LEN(A7)-1))</f>
        <v>1. LTE Band : 5</v>
      </c>
      <c r="O25" s="83"/>
      <c r="P25" s="83"/>
    </row>
    <row r="26" spans="1:16" ht="21.9" customHeight="1" thickBot="1" x14ac:dyDescent="0.45">
      <c r="A26" s="229"/>
      <c r="B26" s="4"/>
      <c r="C26" s="4"/>
      <c r="D26" s="4"/>
      <c r="E26" s="20" t="s">
        <v>29</v>
      </c>
      <c r="F26" s="231"/>
      <c r="G26" s="43"/>
      <c r="H26" s="45"/>
      <c r="I26" s="114"/>
      <c r="J26" s="115"/>
      <c r="K26" s="116"/>
      <c r="L26" s="233"/>
      <c r="M26" s="235"/>
      <c r="N26" s="84" t="str">
        <f>"2. The test was performed the " &amp; H7 &amp; " antenna."</f>
        <v>2. The test was performed the  antenna.</v>
      </c>
      <c r="O26" s="85"/>
      <c r="P26" s="85"/>
    </row>
    <row r="27" spans="1:16" ht="24.9" customHeight="1" x14ac:dyDescent="0.4">
      <c r="A27" s="86" t="s">
        <v>13</v>
      </c>
      <c r="B27" s="87"/>
      <c r="C27" s="87"/>
      <c r="D27" s="87"/>
      <c r="E27" s="88"/>
      <c r="F27" s="90" t="s">
        <v>41</v>
      </c>
      <c r="G27" s="90"/>
      <c r="H27" s="90"/>
      <c r="I27" s="90"/>
      <c r="J27" s="90"/>
      <c r="K27" s="90"/>
      <c r="L27" s="90"/>
      <c r="M27" s="91"/>
    </row>
    <row r="28" spans="1:16" ht="24.9" customHeight="1" x14ac:dyDescent="0.4">
      <c r="A28" s="89"/>
      <c r="B28" s="87"/>
      <c r="C28" s="87"/>
      <c r="D28" s="87"/>
      <c r="E28" s="88"/>
      <c r="F28" s="92"/>
      <c r="G28" s="92"/>
      <c r="H28" s="92"/>
      <c r="I28" s="92"/>
      <c r="J28" s="92"/>
      <c r="K28" s="92"/>
      <c r="L28" s="92"/>
      <c r="M28" s="93"/>
      <c r="N28" s="8"/>
      <c r="O28" s="6"/>
      <c r="P28" s="6"/>
    </row>
    <row r="29" spans="1:16" ht="21.9" customHeight="1" thickBot="1" x14ac:dyDescent="0.45">
      <c r="A29" s="94" t="s">
        <v>5</v>
      </c>
      <c r="B29" s="95"/>
      <c r="C29" s="95"/>
      <c r="D29" s="95"/>
      <c r="E29" s="96"/>
      <c r="F29" s="97" t="s">
        <v>5</v>
      </c>
      <c r="G29" s="97"/>
      <c r="H29" s="97"/>
      <c r="I29" s="97"/>
      <c r="J29" s="97"/>
      <c r="K29" s="97"/>
      <c r="L29" s="97"/>
      <c r="M29" s="97"/>
    </row>
    <row r="30" spans="1:16" ht="21.9" customHeight="1" thickTop="1" x14ac:dyDescent="0.4">
      <c r="A30" s="60" t="s">
        <v>44</v>
      </c>
      <c r="B30" s="62" t="s">
        <v>15</v>
      </c>
      <c r="C30" s="62" t="s">
        <v>16</v>
      </c>
      <c r="D30" s="62" t="s">
        <v>17</v>
      </c>
      <c r="E30" s="98" t="s">
        <v>18</v>
      </c>
      <c r="F30" s="60" t="s">
        <v>44</v>
      </c>
      <c r="G30" s="100" t="s">
        <v>18</v>
      </c>
      <c r="H30" s="100" t="s">
        <v>30</v>
      </c>
      <c r="I30" s="72" t="s">
        <v>42</v>
      </c>
      <c r="J30" s="74" t="s">
        <v>43</v>
      </c>
      <c r="K30" s="76" t="s">
        <v>9</v>
      </c>
      <c r="L30" s="224" t="s">
        <v>19</v>
      </c>
      <c r="M30" s="226" t="s">
        <v>7</v>
      </c>
    </row>
    <row r="31" spans="1:16" ht="21.9" customHeight="1" x14ac:dyDescent="0.4">
      <c r="A31" s="61"/>
      <c r="B31" s="63"/>
      <c r="C31" s="63"/>
      <c r="D31" s="63"/>
      <c r="E31" s="99"/>
      <c r="F31" s="61"/>
      <c r="G31" s="101"/>
      <c r="H31" s="101"/>
      <c r="I31" s="73"/>
      <c r="J31" s="75"/>
      <c r="K31" s="77"/>
      <c r="L31" s="225"/>
      <c r="M31" s="227"/>
    </row>
    <row r="32" spans="1:16" ht="21.9" customHeight="1" x14ac:dyDescent="0.4">
      <c r="A32" s="46" t="s">
        <v>27</v>
      </c>
      <c r="B32" s="10"/>
      <c r="C32" s="1"/>
      <c r="D32" s="1"/>
      <c r="E32" s="11" t="s">
        <v>28</v>
      </c>
      <c r="F32" s="48" t="str">
        <f>A32</f>
        <v>Spurious</v>
      </c>
      <c r="G32" s="50" t="str">
        <f>IF(COUNT(B32:D32)=0, "H", IF(COUNT(B33:D33)=0, "V", IF(MAX(B32:D32) &gt;= MAX(B33:D33), "V", "H")))</f>
        <v>H</v>
      </c>
      <c r="H32" s="52">
        <f>MAX(B32:D33)</f>
        <v>0</v>
      </c>
      <c r="I32" s="54">
        <v>-57</v>
      </c>
      <c r="J32" s="64" t="str">
        <f>IF(OR(I32-H32&gt;10,I32-H32=-57),"No Peak Found",I32-H32)</f>
        <v>No Peak Found</v>
      </c>
      <c r="K32" s="66" t="s">
        <v>8</v>
      </c>
      <c r="L32" s="220" t="str">
        <f>IF(OR(COUNTIF(B32:D33, "-")+COUNTBLANK(B32:D33)=6), "Pass", IF(H32 &gt; I32, "Fail", IF(J32 &lt; 3, "Margin 부족", "Pass")))</f>
        <v>Pass</v>
      </c>
      <c r="M32" s="222" t="s">
        <v>11</v>
      </c>
    </row>
    <row r="33" spans="1:13" ht="21.9" customHeight="1" thickBot="1" x14ac:dyDescent="0.45">
      <c r="A33" s="47"/>
      <c r="B33" s="2"/>
      <c r="C33" s="2"/>
      <c r="D33" s="2"/>
      <c r="E33" s="12" t="s">
        <v>29</v>
      </c>
      <c r="F33" s="49"/>
      <c r="G33" s="51"/>
      <c r="H33" s="53"/>
      <c r="I33" s="55"/>
      <c r="J33" s="65"/>
      <c r="K33" s="67"/>
      <c r="L33" s="221"/>
      <c r="M33" s="223"/>
    </row>
    <row r="34" spans="1:13" ht="21.9" customHeight="1" thickBot="1" x14ac:dyDescent="0.45">
      <c r="A34" s="56" t="s">
        <v>34</v>
      </c>
      <c r="B34" s="57"/>
      <c r="C34" s="57"/>
      <c r="D34" s="57"/>
      <c r="E34" s="58"/>
      <c r="F34" s="59" t="s">
        <v>34</v>
      </c>
      <c r="G34" s="59"/>
      <c r="H34" s="59"/>
      <c r="I34" s="59"/>
      <c r="J34" s="59"/>
      <c r="K34" s="59"/>
      <c r="L34" s="59"/>
      <c r="M34" s="59"/>
    </row>
    <row r="35" spans="1:13" ht="21.9" customHeight="1" thickTop="1" x14ac:dyDescent="0.4">
      <c r="A35" s="60" t="s">
        <v>44</v>
      </c>
      <c r="B35" s="62" t="s">
        <v>15</v>
      </c>
      <c r="C35" s="62" t="s">
        <v>16</v>
      </c>
      <c r="D35" s="62" t="s">
        <v>17</v>
      </c>
      <c r="E35" s="98" t="s">
        <v>18</v>
      </c>
      <c r="F35" s="60" t="s">
        <v>44</v>
      </c>
      <c r="G35" s="100" t="s">
        <v>18</v>
      </c>
      <c r="H35" s="100" t="s">
        <v>30</v>
      </c>
      <c r="I35" s="72" t="s">
        <v>42</v>
      </c>
      <c r="J35" s="74" t="s">
        <v>43</v>
      </c>
      <c r="K35" s="76" t="s">
        <v>9</v>
      </c>
      <c r="L35" s="224" t="s">
        <v>19</v>
      </c>
      <c r="M35" s="226" t="s">
        <v>7</v>
      </c>
    </row>
    <row r="36" spans="1:13" ht="21.9" customHeight="1" x14ac:dyDescent="0.4">
      <c r="A36" s="61"/>
      <c r="B36" s="63"/>
      <c r="C36" s="63"/>
      <c r="D36" s="63"/>
      <c r="E36" s="99"/>
      <c r="F36" s="61"/>
      <c r="G36" s="101"/>
      <c r="H36" s="101"/>
      <c r="I36" s="73"/>
      <c r="J36" s="75"/>
      <c r="K36" s="77"/>
      <c r="L36" s="225"/>
      <c r="M36" s="227"/>
    </row>
    <row r="37" spans="1:13" ht="21.9" customHeight="1" x14ac:dyDescent="0.4">
      <c r="A37" s="46" t="s">
        <v>27</v>
      </c>
      <c r="B37" s="10"/>
      <c r="C37" s="1"/>
      <c r="D37" s="1"/>
      <c r="E37" s="11" t="s">
        <v>28</v>
      </c>
      <c r="F37" s="48" t="str">
        <f>A37</f>
        <v>Spurious</v>
      </c>
      <c r="G37" s="50" t="str">
        <f>IF(COUNT(B37:D37)=0, "H", IF(COUNT(B38:D38)=0, "V", IF(MAX(B37:D37) &gt;= MAX(B38:D38), "V", "H")))</f>
        <v>H</v>
      </c>
      <c r="H37" s="52">
        <f>MAX(B37:D38)</f>
        <v>0</v>
      </c>
      <c r="I37" s="54">
        <v>-47</v>
      </c>
      <c r="J37" s="64" t="str">
        <f>IF(OR(I37-H37&gt;10,I37-H37=-47),"No Peak Found",I37-H37)</f>
        <v>No Peak Found</v>
      </c>
      <c r="K37" s="66" t="s">
        <v>8</v>
      </c>
      <c r="L37" s="220" t="str">
        <f>IF(OR(COUNTIF(B37:D38, "-")+COUNTBLANK(B37:D38)=6), "Pass", IF(H37 &gt; I37, "Fail", IF(J37 &lt; 3, "Margin 부족", "Pass")))</f>
        <v>Pass</v>
      </c>
      <c r="M37" s="222" t="s">
        <v>11</v>
      </c>
    </row>
    <row r="38" spans="1:13" ht="21.9" customHeight="1" thickBot="1" x14ac:dyDescent="0.45">
      <c r="A38" s="47"/>
      <c r="B38" s="2"/>
      <c r="C38" s="2"/>
      <c r="D38" s="2"/>
      <c r="E38" s="12" t="s">
        <v>29</v>
      </c>
      <c r="F38" s="49"/>
      <c r="G38" s="51"/>
      <c r="H38" s="53"/>
      <c r="I38" s="55"/>
      <c r="J38" s="65"/>
      <c r="K38" s="67"/>
      <c r="L38" s="221"/>
      <c r="M38" s="223"/>
    </row>
    <row r="39" spans="1:13" ht="21.9" customHeight="1" x14ac:dyDescent="0.4"/>
  </sheetData>
  <mergeCells count="153">
    <mergeCell ref="B1:D1"/>
    <mergeCell ref="E1:F2"/>
    <mergeCell ref="G1:M1"/>
    <mergeCell ref="B2:D2"/>
    <mergeCell ref="G2:M2"/>
    <mergeCell ref="A3:M4"/>
    <mergeCell ref="H7:H8"/>
    <mergeCell ref="I7:M8"/>
    <mergeCell ref="A9:E10"/>
    <mergeCell ref="F9:M10"/>
    <mergeCell ref="A11:E11"/>
    <mergeCell ref="F11:M11"/>
    <mergeCell ref="G5:G6"/>
    <mergeCell ref="H5:H6"/>
    <mergeCell ref="I5:M6"/>
    <mergeCell ref="A7:A8"/>
    <mergeCell ref="B7:B8"/>
    <mergeCell ref="C7:C8"/>
    <mergeCell ref="D7:D8"/>
    <mergeCell ref="E7:E8"/>
    <mergeCell ref="F7:F8"/>
    <mergeCell ref="G7:G8"/>
    <mergeCell ref="A5:A6"/>
    <mergeCell ref="B5:B6"/>
    <mergeCell ref="C5:C6"/>
    <mergeCell ref="D5:D6"/>
    <mergeCell ref="E5:E6"/>
    <mergeCell ref="F5:F6"/>
    <mergeCell ref="M12:M13"/>
    <mergeCell ref="A14:A15"/>
    <mergeCell ref="F14:F15"/>
    <mergeCell ref="G14:G15"/>
    <mergeCell ref="H14:H15"/>
    <mergeCell ref="I14:I15"/>
    <mergeCell ref="J14:J15"/>
    <mergeCell ref="K14:K15"/>
    <mergeCell ref="L14:L15"/>
    <mergeCell ref="M14:M15"/>
    <mergeCell ref="G12:G13"/>
    <mergeCell ref="H12:H13"/>
    <mergeCell ref="I12:I13"/>
    <mergeCell ref="J12:J13"/>
    <mergeCell ref="K12:K13"/>
    <mergeCell ref="L12:L13"/>
    <mergeCell ref="A12:A13"/>
    <mergeCell ref="B12:B13"/>
    <mergeCell ref="C12:C13"/>
    <mergeCell ref="D12:D13"/>
    <mergeCell ref="E12:E13"/>
    <mergeCell ref="F12:F13"/>
    <mergeCell ref="A16:E16"/>
    <mergeCell ref="F16:M16"/>
    <mergeCell ref="A17:A18"/>
    <mergeCell ref="B17:B18"/>
    <mergeCell ref="C17:C18"/>
    <mergeCell ref="D17:D18"/>
    <mergeCell ref="E17:E18"/>
    <mergeCell ref="F17:F18"/>
    <mergeCell ref="G17:G18"/>
    <mergeCell ref="H17:H18"/>
    <mergeCell ref="I17:I18"/>
    <mergeCell ref="J17:J18"/>
    <mergeCell ref="K17:K18"/>
    <mergeCell ref="L17:L18"/>
    <mergeCell ref="M17:M18"/>
    <mergeCell ref="A19:A20"/>
    <mergeCell ref="F19:F20"/>
    <mergeCell ref="G19:G20"/>
    <mergeCell ref="H19:H20"/>
    <mergeCell ref="I19:I20"/>
    <mergeCell ref="J19:J20"/>
    <mergeCell ref="K19:K20"/>
    <mergeCell ref="L19:L20"/>
    <mergeCell ref="M19:M20"/>
    <mergeCell ref="A21:A22"/>
    <mergeCell ref="F21:F22"/>
    <mergeCell ref="G21:G22"/>
    <mergeCell ref="H21:H22"/>
    <mergeCell ref="I21:I22"/>
    <mergeCell ref="J21:J22"/>
    <mergeCell ref="K21:K22"/>
    <mergeCell ref="L21:L22"/>
    <mergeCell ref="M21:M22"/>
    <mergeCell ref="A23:A24"/>
    <mergeCell ref="F23:F24"/>
    <mergeCell ref="G23:G24"/>
    <mergeCell ref="H23:H24"/>
    <mergeCell ref="I23:I24"/>
    <mergeCell ref="J23:J24"/>
    <mergeCell ref="K23:K24"/>
    <mergeCell ref="M25:M26"/>
    <mergeCell ref="N25:P25"/>
    <mergeCell ref="N26:P26"/>
    <mergeCell ref="A27:E28"/>
    <mergeCell ref="F27:M28"/>
    <mergeCell ref="A29:E29"/>
    <mergeCell ref="F29:M29"/>
    <mergeCell ref="L23:L24"/>
    <mergeCell ref="M23:M24"/>
    <mergeCell ref="A25:A26"/>
    <mergeCell ref="F25:F26"/>
    <mergeCell ref="G25:G26"/>
    <mergeCell ref="H25:H26"/>
    <mergeCell ref="I25:I26"/>
    <mergeCell ref="J25:J26"/>
    <mergeCell ref="K25:K26"/>
    <mergeCell ref="L25:L26"/>
    <mergeCell ref="M30:M31"/>
    <mergeCell ref="A32:A33"/>
    <mergeCell ref="F32:F33"/>
    <mergeCell ref="G32:G33"/>
    <mergeCell ref="H32:H33"/>
    <mergeCell ref="I32:I33"/>
    <mergeCell ref="J32:J33"/>
    <mergeCell ref="K32:K33"/>
    <mergeCell ref="L32:L33"/>
    <mergeCell ref="M32:M33"/>
    <mergeCell ref="G30:G31"/>
    <mergeCell ref="H30:H31"/>
    <mergeCell ref="I30:I31"/>
    <mergeCell ref="J30:J31"/>
    <mergeCell ref="K30:K31"/>
    <mergeCell ref="L30:L31"/>
    <mergeCell ref="A30:A31"/>
    <mergeCell ref="B30:B31"/>
    <mergeCell ref="C30:C31"/>
    <mergeCell ref="D30:D31"/>
    <mergeCell ref="E30:E31"/>
    <mergeCell ref="F30:F31"/>
    <mergeCell ref="A37:A38"/>
    <mergeCell ref="F37:F38"/>
    <mergeCell ref="G37:G38"/>
    <mergeCell ref="H37:H38"/>
    <mergeCell ref="I37:I38"/>
    <mergeCell ref="A34:E34"/>
    <mergeCell ref="F34:M34"/>
    <mergeCell ref="A35:A36"/>
    <mergeCell ref="B35:B36"/>
    <mergeCell ref="C35:C36"/>
    <mergeCell ref="D35:D36"/>
    <mergeCell ref="E35:E36"/>
    <mergeCell ref="F35:F36"/>
    <mergeCell ref="G35:G36"/>
    <mergeCell ref="H35:H36"/>
    <mergeCell ref="J37:J38"/>
    <mergeCell ref="K37:K38"/>
    <mergeCell ref="L37:L38"/>
    <mergeCell ref="M37:M38"/>
    <mergeCell ref="I35:I36"/>
    <mergeCell ref="J35:J36"/>
    <mergeCell ref="K35:K36"/>
    <mergeCell ref="L35:L36"/>
    <mergeCell ref="M35:M36"/>
  </mergeCells>
  <phoneticPr fontId="1" type="noConversion"/>
  <conditionalFormatting sqref="J14">
    <cfRule type="cellIs" dxfId="192" priority="21" operator="lessThan">
      <formula>10</formula>
    </cfRule>
  </conditionalFormatting>
  <conditionalFormatting sqref="J14">
    <cfRule type="cellIs" dxfId="191" priority="20" operator="equal">
      <formula>-36</formula>
    </cfRule>
  </conditionalFormatting>
  <conditionalFormatting sqref="L14">
    <cfRule type="cellIs" dxfId="190" priority="19" operator="equal">
      <formula>"Fail"</formula>
    </cfRule>
  </conditionalFormatting>
  <conditionalFormatting sqref="L19">
    <cfRule type="cellIs" dxfId="189" priority="18" operator="equal">
      <formula>"Fail"</formula>
    </cfRule>
  </conditionalFormatting>
  <conditionalFormatting sqref="L21">
    <cfRule type="cellIs" dxfId="188" priority="17" operator="equal">
      <formula>"Fail"</formula>
    </cfRule>
  </conditionalFormatting>
  <conditionalFormatting sqref="L23">
    <cfRule type="cellIs" dxfId="187" priority="16" operator="equal">
      <formula>"Fail"</formula>
    </cfRule>
  </conditionalFormatting>
  <conditionalFormatting sqref="L25">
    <cfRule type="cellIs" dxfId="186" priority="15" operator="equal">
      <formula>"Fail"</formula>
    </cfRule>
  </conditionalFormatting>
  <conditionalFormatting sqref="V28">
    <cfRule type="cellIs" dxfId="185" priority="14" operator="equal">
      <formula>"Fail"</formula>
    </cfRule>
  </conditionalFormatting>
  <conditionalFormatting sqref="L14:L15 L19:L26">
    <cfRule type="cellIs" dxfId="184" priority="13" operator="equal">
      <formula>"Pass"</formula>
    </cfRule>
  </conditionalFormatting>
  <conditionalFormatting sqref="L32">
    <cfRule type="cellIs" dxfId="183" priority="12" operator="equal">
      <formula>"Fail"</formula>
    </cfRule>
  </conditionalFormatting>
  <conditionalFormatting sqref="L32:L33">
    <cfRule type="cellIs" dxfId="182" priority="11" operator="equal">
      <formula>"Pass"</formula>
    </cfRule>
  </conditionalFormatting>
  <conditionalFormatting sqref="L37">
    <cfRule type="cellIs" dxfId="181" priority="10" operator="equal">
      <formula>"Fail"</formula>
    </cfRule>
  </conditionalFormatting>
  <conditionalFormatting sqref="L37:L38">
    <cfRule type="cellIs" dxfId="180" priority="9" operator="equal">
      <formula>"Pass"</formula>
    </cfRule>
  </conditionalFormatting>
  <conditionalFormatting sqref="B14:D15">
    <cfRule type="top10" dxfId="179" priority="8" rank="1"/>
  </conditionalFormatting>
  <conditionalFormatting sqref="J19 J21 J23 J25">
    <cfRule type="expression" dxfId="178" priority="4">
      <formula>J19=-30</formula>
    </cfRule>
    <cfRule type="expression" dxfId="177" priority="6">
      <formula>AND(J19&lt;&gt;-30,J19&lt;=3)</formula>
    </cfRule>
    <cfRule type="expression" dxfId="176" priority="7">
      <formula>AND(J19&gt;3,J19&lt;10)</formula>
    </cfRule>
  </conditionalFormatting>
  <conditionalFormatting sqref="B19:D20">
    <cfRule type="top10" dxfId="175" priority="5" rank="1"/>
  </conditionalFormatting>
  <conditionalFormatting sqref="B21:D22">
    <cfRule type="top10" dxfId="174" priority="3" rank="1"/>
  </conditionalFormatting>
  <conditionalFormatting sqref="B23:D24">
    <cfRule type="top10" dxfId="173" priority="2" rank="1"/>
  </conditionalFormatting>
  <conditionalFormatting sqref="B25:D26">
    <cfRule type="top10" dxfId="172" priority="1" rank="1"/>
  </conditionalFormatting>
  <dataValidations count="1">
    <dataValidation type="list" allowBlank="1" showInputMessage="1" showErrorMessage="1" sqref="M14 M25 M19 M21 M23 M37:M38 M32:M33" xr:uid="{423E386D-AC82-4E59-B6BE-68A2E967BF4A}">
      <formula1>"Fundamental, Harmonic, Noise Floor, -"</formula1>
    </dataValidation>
  </dataValidations>
  <pageMargins left="0.7" right="0.7" top="0.75" bottom="0.75" header="0.3" footer="0.3"/>
  <pageSetup paperSize="9" scale="27" orientation="portrait" r:id="rId1"/>
  <colBreaks count="1" manualBreakCount="1">
    <brk id="13" max="37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8B6B30-9FA7-4E38-BCFA-D3390E252F52}">
  <dimension ref="A1:P39"/>
  <sheetViews>
    <sheetView view="pageBreakPreview" zoomScale="85" zoomScaleNormal="100" zoomScaleSheetLayoutView="85" workbookViewId="0"/>
  </sheetViews>
  <sheetFormatPr defaultRowHeight="17.399999999999999" outlineLevelCol="1" x14ac:dyDescent="0.4"/>
  <cols>
    <col min="1" max="11" width="12.59765625" style="6" customWidth="1"/>
    <col min="12" max="13" width="12.59765625" hidden="1" customWidth="1" outlineLevel="1"/>
    <col min="14" max="14" width="12.59765625" customWidth="1" collapsed="1"/>
    <col min="15" max="22" width="12.59765625" customWidth="1"/>
  </cols>
  <sheetData>
    <row r="1" spans="1:13" ht="20.100000000000001" customHeight="1" x14ac:dyDescent="0.4">
      <c r="A1" s="5" t="s">
        <v>14</v>
      </c>
      <c r="B1" s="188"/>
      <c r="C1" s="189"/>
      <c r="D1" s="190"/>
      <c r="E1" s="191" t="s">
        <v>35</v>
      </c>
      <c r="F1" s="192"/>
      <c r="G1" s="188" t="s">
        <v>36</v>
      </c>
      <c r="H1" s="189"/>
      <c r="I1" s="189"/>
      <c r="J1" s="189"/>
      <c r="K1" s="189"/>
      <c r="L1" s="189"/>
      <c r="M1" s="190"/>
    </row>
    <row r="2" spans="1:13" ht="20.100000000000001" customHeight="1" thickBot="1" x14ac:dyDescent="0.45">
      <c r="A2" s="18" t="s">
        <v>47</v>
      </c>
      <c r="B2" s="195"/>
      <c r="C2" s="196"/>
      <c r="D2" s="197"/>
      <c r="E2" s="193"/>
      <c r="F2" s="194"/>
      <c r="G2" s="195" t="s">
        <v>45</v>
      </c>
      <c r="H2" s="196"/>
      <c r="I2" s="196"/>
      <c r="J2" s="196"/>
      <c r="K2" s="196"/>
      <c r="L2" s="196"/>
      <c r="M2" s="197"/>
    </row>
    <row r="3" spans="1:13" ht="24.9" customHeight="1" x14ac:dyDescent="0.4">
      <c r="A3" s="198" t="s">
        <v>48</v>
      </c>
      <c r="B3" s="199"/>
      <c r="C3" s="199"/>
      <c r="D3" s="199"/>
      <c r="E3" s="199"/>
      <c r="F3" s="199"/>
      <c r="G3" s="199"/>
      <c r="H3" s="199"/>
      <c r="I3" s="199"/>
      <c r="J3" s="199"/>
      <c r="K3" s="199"/>
      <c r="L3" s="199"/>
      <c r="M3" s="200"/>
    </row>
    <row r="4" spans="1:13" ht="24.9" customHeight="1" thickBot="1" x14ac:dyDescent="0.45">
      <c r="A4" s="201"/>
      <c r="B4" s="202"/>
      <c r="C4" s="202"/>
      <c r="D4" s="202"/>
      <c r="E4" s="202"/>
      <c r="F4" s="202"/>
      <c r="G4" s="202"/>
      <c r="H4" s="202"/>
      <c r="I4" s="202"/>
      <c r="J4" s="202"/>
      <c r="K4" s="202"/>
      <c r="L4" s="202"/>
      <c r="M4" s="203"/>
    </row>
    <row r="5" spans="1:13" ht="24.9" customHeight="1" x14ac:dyDescent="0.4">
      <c r="A5" s="186" t="s">
        <v>20</v>
      </c>
      <c r="B5" s="278" t="s">
        <v>23</v>
      </c>
      <c r="C5" s="274" t="s">
        <v>25</v>
      </c>
      <c r="D5" s="274" t="s">
        <v>21</v>
      </c>
      <c r="E5" s="274" t="s">
        <v>22</v>
      </c>
      <c r="F5" s="274" t="s">
        <v>26</v>
      </c>
      <c r="G5" s="272" t="s">
        <v>38</v>
      </c>
      <c r="H5" s="274" t="s">
        <v>37</v>
      </c>
      <c r="I5" s="281" t="s">
        <v>39</v>
      </c>
      <c r="J5" s="207"/>
      <c r="K5" s="207"/>
      <c r="L5" s="207"/>
      <c r="M5" s="282"/>
    </row>
    <row r="6" spans="1:13" ht="20.100000000000001" customHeight="1" x14ac:dyDescent="0.4">
      <c r="A6" s="187"/>
      <c r="B6" s="279"/>
      <c r="C6" s="275"/>
      <c r="D6" s="275"/>
      <c r="E6" s="275"/>
      <c r="F6" s="275"/>
      <c r="G6" s="273"/>
      <c r="H6" s="275"/>
      <c r="I6" s="283"/>
      <c r="J6" s="284"/>
      <c r="K6" s="284"/>
      <c r="L6" s="284"/>
      <c r="M6" s="285"/>
    </row>
    <row r="7" spans="1:13" ht="20.100000000000001" customHeight="1" x14ac:dyDescent="0.4">
      <c r="A7" s="204" t="s">
        <v>31</v>
      </c>
      <c r="B7" s="276"/>
      <c r="C7" s="264"/>
      <c r="D7" s="264"/>
      <c r="E7" s="263"/>
      <c r="F7" s="263"/>
      <c r="G7" s="263">
        <v>15</v>
      </c>
      <c r="H7" s="264"/>
      <c r="I7" s="292"/>
      <c r="J7" s="293"/>
      <c r="K7" s="293"/>
      <c r="L7" s="293"/>
      <c r="M7" s="294"/>
    </row>
    <row r="8" spans="1:13" ht="20.100000000000001" customHeight="1" thickBot="1" x14ac:dyDescent="0.45">
      <c r="A8" s="205"/>
      <c r="B8" s="277"/>
      <c r="C8" s="265"/>
      <c r="D8" s="265"/>
      <c r="E8" s="264"/>
      <c r="F8" s="264"/>
      <c r="G8" s="264"/>
      <c r="H8" s="265"/>
      <c r="I8" s="295"/>
      <c r="J8" s="296"/>
      <c r="K8" s="296"/>
      <c r="L8" s="296"/>
      <c r="M8" s="297"/>
    </row>
    <row r="9" spans="1:13" ht="24.9" customHeight="1" x14ac:dyDescent="0.4">
      <c r="A9" s="174" t="s">
        <v>12</v>
      </c>
      <c r="B9" s="175"/>
      <c r="C9" s="175"/>
      <c r="D9" s="175"/>
      <c r="E9" s="178"/>
      <c r="F9" s="271" t="s">
        <v>40</v>
      </c>
      <c r="G9" s="267"/>
      <c r="H9" s="267"/>
      <c r="I9" s="267"/>
      <c r="J9" s="267"/>
      <c r="K9" s="267"/>
      <c r="L9" s="267"/>
      <c r="M9" s="268"/>
    </row>
    <row r="10" spans="1:13" ht="24.9" customHeight="1" x14ac:dyDescent="0.4">
      <c r="A10" s="176"/>
      <c r="B10" s="177"/>
      <c r="C10" s="177"/>
      <c r="D10" s="177"/>
      <c r="E10" s="254"/>
      <c r="F10" s="177"/>
      <c r="G10" s="177"/>
      <c r="H10" s="177"/>
      <c r="I10" s="177"/>
      <c r="J10" s="177"/>
      <c r="K10" s="177"/>
      <c r="L10" s="177"/>
      <c r="M10" s="270"/>
    </row>
    <row r="11" spans="1:13" ht="21.9" customHeight="1" thickBot="1" x14ac:dyDescent="0.45">
      <c r="A11" s="255" t="s">
        <v>6</v>
      </c>
      <c r="B11" s="256"/>
      <c r="C11" s="256"/>
      <c r="D11" s="256"/>
      <c r="E11" s="257"/>
      <c r="F11" s="256" t="s">
        <v>6</v>
      </c>
      <c r="G11" s="256"/>
      <c r="H11" s="256"/>
      <c r="I11" s="256"/>
      <c r="J11" s="59"/>
      <c r="K11" s="256"/>
      <c r="L11" s="256"/>
      <c r="M11" s="258"/>
    </row>
    <row r="12" spans="1:13" ht="21.9" customHeight="1" thickTop="1" x14ac:dyDescent="0.4">
      <c r="A12" s="252" t="s">
        <v>44</v>
      </c>
      <c r="B12" s="62" t="s">
        <v>4</v>
      </c>
      <c r="C12" s="62" t="s">
        <v>16</v>
      </c>
      <c r="D12" s="62" t="s">
        <v>3</v>
      </c>
      <c r="E12" s="253" t="s">
        <v>2</v>
      </c>
      <c r="F12" s="146" t="s">
        <v>44</v>
      </c>
      <c r="G12" s="100" t="s">
        <v>18</v>
      </c>
      <c r="H12" s="100" t="s">
        <v>30</v>
      </c>
      <c r="I12" s="72" t="s">
        <v>42</v>
      </c>
      <c r="J12" s="74" t="s">
        <v>43</v>
      </c>
      <c r="K12" s="146" t="s">
        <v>9</v>
      </c>
      <c r="L12" s="224" t="s">
        <v>19</v>
      </c>
      <c r="M12" s="226" t="s">
        <v>7</v>
      </c>
    </row>
    <row r="13" spans="1:13" ht="21.9" customHeight="1" x14ac:dyDescent="0.4">
      <c r="A13" s="129"/>
      <c r="B13" s="63"/>
      <c r="C13" s="63"/>
      <c r="D13" s="63"/>
      <c r="E13" s="133"/>
      <c r="F13" s="147"/>
      <c r="G13" s="101"/>
      <c r="H13" s="101"/>
      <c r="I13" s="73"/>
      <c r="J13" s="75"/>
      <c r="K13" s="147"/>
      <c r="L13" s="225"/>
      <c r="M13" s="227"/>
    </row>
    <row r="14" spans="1:13" ht="21.9" customHeight="1" x14ac:dyDescent="0.4">
      <c r="A14" s="246" t="s">
        <v>27</v>
      </c>
      <c r="B14" s="3"/>
      <c r="C14" s="3"/>
      <c r="D14" s="3"/>
      <c r="E14" s="15" t="s">
        <v>28</v>
      </c>
      <c r="F14" s="248" t="str">
        <f>A14</f>
        <v>Spurious</v>
      </c>
      <c r="G14" s="42" t="str">
        <f>IF(COUNT(B14:D14)=0, "H", IF(COUNT(B15:D15)=0, "V", IF(MAX(B14:D14) &gt;= MAX(B15:D15), "V", "H")))</f>
        <v>H</v>
      </c>
      <c r="H14" s="44">
        <f>MAX(B14:D15)</f>
        <v>0</v>
      </c>
      <c r="I14" s="120">
        <v>-36</v>
      </c>
      <c r="J14" s="134" t="str">
        <f>IF(OR(I14-H14&gt;10,I14-H14=-36),"No Peak Found",I14-H14)</f>
        <v>No Peak Found</v>
      </c>
      <c r="K14" s="136" t="s">
        <v>8</v>
      </c>
      <c r="L14" s="220" t="str">
        <f>IF(OR(COUNTIF(B14:D15, "-")+COUNTBLANK(B14:D15)=6), "Pass", IF(H14 &gt; I14, "Fail", IF(J14 &lt; 3, "Margin 부족", "Pass")))</f>
        <v>Pass</v>
      </c>
      <c r="M14" s="250" t="s">
        <v>11</v>
      </c>
    </row>
    <row r="15" spans="1:13" ht="21.9" customHeight="1" thickBot="1" x14ac:dyDescent="0.45">
      <c r="A15" s="247"/>
      <c r="B15" s="16"/>
      <c r="C15" s="16"/>
      <c r="D15" s="16"/>
      <c r="E15" s="17" t="s">
        <v>29</v>
      </c>
      <c r="F15" s="249"/>
      <c r="G15" s="163"/>
      <c r="H15" s="164"/>
      <c r="I15" s="165"/>
      <c r="J15" s="135"/>
      <c r="K15" s="166"/>
      <c r="L15" s="221"/>
      <c r="M15" s="251"/>
    </row>
    <row r="16" spans="1:13" ht="21.9" customHeight="1" thickBot="1" x14ac:dyDescent="0.45">
      <c r="A16" s="240" t="s">
        <v>46</v>
      </c>
      <c r="B16" s="59"/>
      <c r="C16" s="59"/>
      <c r="D16" s="59"/>
      <c r="E16" s="59"/>
      <c r="F16" s="142" t="s">
        <v>46</v>
      </c>
      <c r="G16" s="143"/>
      <c r="H16" s="143"/>
      <c r="I16" s="143"/>
      <c r="J16" s="59"/>
      <c r="K16" s="143"/>
      <c r="L16" s="144"/>
      <c r="M16" s="145"/>
    </row>
    <row r="17" spans="1:16" ht="21.9" customHeight="1" thickTop="1" x14ac:dyDescent="0.4">
      <c r="A17" s="60" t="s">
        <v>44</v>
      </c>
      <c r="B17" s="62" t="s">
        <v>15</v>
      </c>
      <c r="C17" s="62" t="s">
        <v>16</v>
      </c>
      <c r="D17" s="62" t="s">
        <v>17</v>
      </c>
      <c r="E17" s="98" t="s">
        <v>18</v>
      </c>
      <c r="F17" s="241" t="s">
        <v>44</v>
      </c>
      <c r="G17" s="122" t="s">
        <v>18</v>
      </c>
      <c r="H17" s="122" t="s">
        <v>30</v>
      </c>
      <c r="I17" s="123" t="s">
        <v>42</v>
      </c>
      <c r="J17" s="74" t="s">
        <v>43</v>
      </c>
      <c r="K17" s="124" t="s">
        <v>9</v>
      </c>
      <c r="L17" s="242" t="s">
        <v>19</v>
      </c>
      <c r="M17" s="244" t="s">
        <v>7</v>
      </c>
    </row>
    <row r="18" spans="1:16" ht="21.75" customHeight="1" x14ac:dyDescent="0.4">
      <c r="A18" s="61"/>
      <c r="B18" s="131"/>
      <c r="C18" s="131"/>
      <c r="D18" s="131"/>
      <c r="E18" s="99"/>
      <c r="F18" s="147"/>
      <c r="G18" s="101"/>
      <c r="H18" s="101"/>
      <c r="I18" s="73"/>
      <c r="J18" s="75"/>
      <c r="K18" s="125"/>
      <c r="L18" s="243"/>
      <c r="M18" s="245"/>
    </row>
    <row r="19" spans="1:16" ht="21.9" customHeight="1" x14ac:dyDescent="0.4">
      <c r="A19" s="228">
        <f>I7*2</f>
        <v>0</v>
      </c>
      <c r="B19" s="4"/>
      <c r="C19" s="4"/>
      <c r="D19" s="4"/>
      <c r="E19" s="19" t="s">
        <v>1</v>
      </c>
      <c r="F19" s="237">
        <f>$A$19</f>
        <v>0</v>
      </c>
      <c r="G19" s="42" t="str">
        <f>IF(COUNT(B19:D19)=0, "H", IF(COUNT(B20:D20)=0, "V", IF(MAX(B19:D19) &gt;= MAX(B20:D20), "V", "H")))</f>
        <v>H</v>
      </c>
      <c r="H19" s="44">
        <f>MAX(B19:D20)</f>
        <v>0</v>
      </c>
      <c r="I19" s="120">
        <v>-30</v>
      </c>
      <c r="J19" s="111" t="str">
        <f>IF(OR(I19-H19&gt;10,I19-H19=-30),"No Peak Found",I19-H19)</f>
        <v>No Peak Found</v>
      </c>
      <c r="K19" s="121" t="s">
        <v>8</v>
      </c>
      <c r="L19" s="232" t="str">
        <f>IF(OR(COUNTIF(B19:D20, "-")+COUNTBLANK(B19:D20)=6), "Pass", IF(H19 &gt; I19, "Fail", IF(J19 &lt; 3, "Margin 부족", "Pass")))</f>
        <v>Pass</v>
      </c>
      <c r="M19" s="234" t="s">
        <v>10</v>
      </c>
    </row>
    <row r="20" spans="1:16" ht="21.9" customHeight="1" x14ac:dyDescent="0.4">
      <c r="A20" s="236"/>
      <c r="B20" s="4"/>
      <c r="C20" s="4"/>
      <c r="D20" s="4"/>
      <c r="E20" s="19" t="s">
        <v>0</v>
      </c>
      <c r="F20" s="237"/>
      <c r="G20" s="42"/>
      <c r="H20" s="44"/>
      <c r="I20" s="120"/>
      <c r="J20" s="112"/>
      <c r="K20" s="121"/>
      <c r="L20" s="238"/>
      <c r="M20" s="239"/>
    </row>
    <row r="21" spans="1:16" ht="21.9" customHeight="1" x14ac:dyDescent="0.4">
      <c r="A21" s="228">
        <f>I7*3</f>
        <v>0</v>
      </c>
      <c r="B21" s="4"/>
      <c r="C21" s="4"/>
      <c r="D21" s="4"/>
      <c r="E21" s="19" t="s">
        <v>1</v>
      </c>
      <c r="F21" s="230">
        <f>$A$21</f>
        <v>0</v>
      </c>
      <c r="G21" s="42" t="str">
        <f>IF(COUNT(B21:D21)=0, "H", IF(COUNT(B22:D22)=0, "V", IF(MAX(B21:D21) &gt;= MAX(B22:D22), "V", "H")))</f>
        <v>H</v>
      </c>
      <c r="H21" s="44">
        <f>MAX(B21:D22)</f>
        <v>0</v>
      </c>
      <c r="I21" s="110">
        <v>-30</v>
      </c>
      <c r="J21" s="111" t="str">
        <f t="shared" ref="J21" si="0">IF(OR(I21-H21&gt;10,I21-H21=-30),"No Peak Found",I21-H21)</f>
        <v>No Peak Found</v>
      </c>
      <c r="K21" s="104" t="s">
        <v>8</v>
      </c>
      <c r="L21" s="232" t="str">
        <f>IF(OR(COUNTIF(B21:D22, "-")+COUNTBLANK(B21:D22)=6), "Pass", IF(H21 &gt; I21, "Fail", IF(J21 &lt; 3, "Margin 부족", "Pass")))</f>
        <v>Pass</v>
      </c>
      <c r="M21" s="234" t="s">
        <v>10</v>
      </c>
    </row>
    <row r="22" spans="1:16" ht="21.9" customHeight="1" x14ac:dyDescent="0.4">
      <c r="A22" s="236"/>
      <c r="B22" s="4"/>
      <c r="C22" s="4"/>
      <c r="D22" s="4"/>
      <c r="E22" s="19" t="s">
        <v>0</v>
      </c>
      <c r="F22" s="230"/>
      <c r="G22" s="42"/>
      <c r="H22" s="44"/>
      <c r="I22" s="110"/>
      <c r="J22" s="112"/>
      <c r="K22" s="104"/>
      <c r="L22" s="238"/>
      <c r="M22" s="239"/>
    </row>
    <row r="23" spans="1:16" ht="21.9" customHeight="1" x14ac:dyDescent="0.4">
      <c r="A23" s="228">
        <f>I7*4</f>
        <v>0</v>
      </c>
      <c r="B23" s="4"/>
      <c r="C23" s="4"/>
      <c r="D23" s="4"/>
      <c r="E23" s="19" t="s">
        <v>1</v>
      </c>
      <c r="F23" s="237">
        <f>$A$23</f>
        <v>0</v>
      </c>
      <c r="G23" s="42" t="str">
        <f>IF(COUNT(B23:D23)=0, "H", IF(COUNT(B24:D24)=0, "V", IF(MAX(B23:D23) &gt;= MAX(B24:D24), "V", "H")))</f>
        <v>H</v>
      </c>
      <c r="H23" s="44">
        <f>MAX(B23:D24)</f>
        <v>0</v>
      </c>
      <c r="I23" s="110">
        <v>-30</v>
      </c>
      <c r="J23" s="111" t="str">
        <f t="shared" ref="J23" si="1">IF(OR(I23-H23&gt;10,I23-H23=-30),"No Peak Found",I23-H23)</f>
        <v>No Peak Found</v>
      </c>
      <c r="K23" s="113" t="s">
        <v>8</v>
      </c>
      <c r="L23" s="232" t="str">
        <f>IF(OR(COUNTIF(B23:D24, "-")+COUNTBLANK(B23:D24)=6), "Pass", IF(H23 &gt; I23, "Fail", IF(J23 &lt; 3, "Margin 부족", "Pass")))</f>
        <v>Pass</v>
      </c>
      <c r="M23" s="234" t="s">
        <v>10</v>
      </c>
    </row>
    <row r="24" spans="1:16" ht="21.9" customHeight="1" x14ac:dyDescent="0.4">
      <c r="A24" s="236"/>
      <c r="B24" s="4"/>
      <c r="C24" s="4"/>
      <c r="D24" s="4"/>
      <c r="E24" s="19" t="s">
        <v>0</v>
      </c>
      <c r="F24" s="237"/>
      <c r="G24" s="42"/>
      <c r="H24" s="44"/>
      <c r="I24" s="110"/>
      <c r="J24" s="112"/>
      <c r="K24" s="113"/>
      <c r="L24" s="238"/>
      <c r="M24" s="239"/>
      <c r="N24" s="8" t="s">
        <v>7</v>
      </c>
      <c r="O24" s="6"/>
      <c r="P24" s="6"/>
    </row>
    <row r="25" spans="1:16" ht="21.9" customHeight="1" x14ac:dyDescent="0.4">
      <c r="A25" s="228">
        <f>I7*5</f>
        <v>0</v>
      </c>
      <c r="B25" s="4"/>
      <c r="C25" s="4"/>
      <c r="D25" s="4"/>
      <c r="E25" s="19" t="s">
        <v>1</v>
      </c>
      <c r="F25" s="230">
        <f>$A$25</f>
        <v>0</v>
      </c>
      <c r="G25" s="42" t="str">
        <f>IF(COUNT(B25:D25)=0, "H", IF(COUNT(B26:D26)=0, "V", IF(MAX(B25:D25) &gt;= MAX(B26:D26), "V", "H")))</f>
        <v>H</v>
      </c>
      <c r="H25" s="44">
        <f>MAX(B25:D26)</f>
        <v>0</v>
      </c>
      <c r="I25" s="110">
        <v>-30</v>
      </c>
      <c r="J25" s="111" t="str">
        <f t="shared" ref="J25" si="2">IF(OR(I25-H25&gt;10,I25-H25=-30),"No Peak Found",I25-H25)</f>
        <v>No Peak Found</v>
      </c>
      <c r="K25" s="113" t="s">
        <v>8</v>
      </c>
      <c r="L25" s="232" t="str">
        <f>IF(OR(COUNTIF(B25:D26, "-")+COUNTBLANK(B25:D26)=6), "Pass", IF(H25 &gt; I25, "Fail", IF(J25 &lt; 3, "Margin 부족", "Pass")))</f>
        <v>Pass</v>
      </c>
      <c r="M25" s="234" t="s">
        <v>10</v>
      </c>
      <c r="N25" s="82" t="str">
        <f>"1. LTE Band : " &amp; VALUE(RIGHT(A7, LEN(A7)-1))</f>
        <v>1. LTE Band : 8</v>
      </c>
      <c r="O25" s="83"/>
      <c r="P25" s="83"/>
    </row>
    <row r="26" spans="1:16" ht="21.9" customHeight="1" thickBot="1" x14ac:dyDescent="0.45">
      <c r="A26" s="229"/>
      <c r="B26" s="4"/>
      <c r="C26" s="4"/>
      <c r="D26" s="4"/>
      <c r="E26" s="20" t="s">
        <v>29</v>
      </c>
      <c r="F26" s="231"/>
      <c r="G26" s="43"/>
      <c r="H26" s="45"/>
      <c r="I26" s="114"/>
      <c r="J26" s="115"/>
      <c r="K26" s="116"/>
      <c r="L26" s="233"/>
      <c r="M26" s="235"/>
      <c r="N26" s="84" t="str">
        <f>"2. The test was performed the " &amp; H7 &amp; " antenna."</f>
        <v>2. The test was performed the  antenna.</v>
      </c>
      <c r="O26" s="85"/>
      <c r="P26" s="85"/>
    </row>
    <row r="27" spans="1:16" ht="24.9" customHeight="1" x14ac:dyDescent="0.4">
      <c r="A27" s="86" t="s">
        <v>13</v>
      </c>
      <c r="B27" s="87"/>
      <c r="C27" s="87"/>
      <c r="D27" s="87"/>
      <c r="E27" s="88"/>
      <c r="F27" s="90" t="s">
        <v>41</v>
      </c>
      <c r="G27" s="90"/>
      <c r="H27" s="90"/>
      <c r="I27" s="90"/>
      <c r="J27" s="90"/>
      <c r="K27" s="90"/>
      <c r="L27" s="90"/>
      <c r="M27" s="91"/>
    </row>
    <row r="28" spans="1:16" ht="24.9" customHeight="1" x14ac:dyDescent="0.4">
      <c r="A28" s="89"/>
      <c r="B28" s="87"/>
      <c r="C28" s="87"/>
      <c r="D28" s="87"/>
      <c r="E28" s="88"/>
      <c r="F28" s="92"/>
      <c r="G28" s="92"/>
      <c r="H28" s="92"/>
      <c r="I28" s="92"/>
      <c r="J28" s="92"/>
      <c r="K28" s="92"/>
      <c r="L28" s="92"/>
      <c r="M28" s="93"/>
      <c r="N28" s="8"/>
      <c r="O28" s="6"/>
      <c r="P28" s="6"/>
    </row>
    <row r="29" spans="1:16" ht="21.9" customHeight="1" thickBot="1" x14ac:dyDescent="0.45">
      <c r="A29" s="94" t="s">
        <v>5</v>
      </c>
      <c r="B29" s="95"/>
      <c r="C29" s="95"/>
      <c r="D29" s="95"/>
      <c r="E29" s="96"/>
      <c r="F29" s="97" t="s">
        <v>5</v>
      </c>
      <c r="G29" s="97"/>
      <c r="H29" s="97"/>
      <c r="I29" s="97"/>
      <c r="J29" s="97"/>
      <c r="K29" s="97"/>
      <c r="L29" s="97"/>
      <c r="M29" s="97"/>
    </row>
    <row r="30" spans="1:16" ht="21.9" customHeight="1" thickTop="1" x14ac:dyDescent="0.4">
      <c r="A30" s="60" t="s">
        <v>44</v>
      </c>
      <c r="B30" s="62" t="s">
        <v>15</v>
      </c>
      <c r="C30" s="62" t="s">
        <v>16</v>
      </c>
      <c r="D30" s="62" t="s">
        <v>17</v>
      </c>
      <c r="E30" s="98" t="s">
        <v>18</v>
      </c>
      <c r="F30" s="60" t="s">
        <v>44</v>
      </c>
      <c r="G30" s="100" t="s">
        <v>18</v>
      </c>
      <c r="H30" s="100" t="s">
        <v>30</v>
      </c>
      <c r="I30" s="72" t="s">
        <v>42</v>
      </c>
      <c r="J30" s="74" t="s">
        <v>43</v>
      </c>
      <c r="K30" s="76" t="s">
        <v>9</v>
      </c>
      <c r="L30" s="224" t="s">
        <v>19</v>
      </c>
      <c r="M30" s="226" t="s">
        <v>7</v>
      </c>
    </row>
    <row r="31" spans="1:16" ht="21.9" customHeight="1" x14ac:dyDescent="0.4">
      <c r="A31" s="61"/>
      <c r="B31" s="63"/>
      <c r="C31" s="63"/>
      <c r="D31" s="63"/>
      <c r="E31" s="99"/>
      <c r="F31" s="61"/>
      <c r="G31" s="101"/>
      <c r="H31" s="101"/>
      <c r="I31" s="73"/>
      <c r="J31" s="75"/>
      <c r="K31" s="77"/>
      <c r="L31" s="225"/>
      <c r="M31" s="227"/>
    </row>
    <row r="32" spans="1:16" ht="21.9" customHeight="1" x14ac:dyDescent="0.4">
      <c r="A32" s="46" t="s">
        <v>27</v>
      </c>
      <c r="B32" s="10"/>
      <c r="C32" s="1"/>
      <c r="D32" s="1"/>
      <c r="E32" s="11" t="s">
        <v>28</v>
      </c>
      <c r="F32" s="48" t="str">
        <f>A32</f>
        <v>Spurious</v>
      </c>
      <c r="G32" s="50" t="str">
        <f>IF(COUNT(B32:D32)=0, "H", IF(COUNT(B33:D33)=0, "V", IF(MAX(B32:D32) &gt;= MAX(B33:D33), "V", "H")))</f>
        <v>H</v>
      </c>
      <c r="H32" s="52">
        <f>MAX(B32:D33)</f>
        <v>0</v>
      </c>
      <c r="I32" s="54">
        <v>-57</v>
      </c>
      <c r="J32" s="64" t="str">
        <f>IF(OR(I32-H32&gt;10,I32-H32=-57),"No Peak Found",I32-H32)</f>
        <v>No Peak Found</v>
      </c>
      <c r="K32" s="66" t="s">
        <v>8</v>
      </c>
      <c r="L32" s="220" t="str">
        <f>IF(OR(COUNTIF(B32:D33, "-")+COUNTBLANK(B32:D33)=6), "Pass", IF(H32 &gt; I32, "Fail", IF(J32 &lt; 3, "Margin 부족", "Pass")))</f>
        <v>Pass</v>
      </c>
      <c r="M32" s="222" t="s">
        <v>11</v>
      </c>
    </row>
    <row r="33" spans="1:13" ht="21.9" customHeight="1" thickBot="1" x14ac:dyDescent="0.45">
      <c r="A33" s="47"/>
      <c r="B33" s="2"/>
      <c r="C33" s="2"/>
      <c r="D33" s="2"/>
      <c r="E33" s="12" t="s">
        <v>29</v>
      </c>
      <c r="F33" s="49"/>
      <c r="G33" s="51"/>
      <c r="H33" s="53"/>
      <c r="I33" s="55"/>
      <c r="J33" s="65"/>
      <c r="K33" s="67"/>
      <c r="L33" s="221"/>
      <c r="M33" s="223"/>
    </row>
    <row r="34" spans="1:13" ht="21.9" customHeight="1" thickBot="1" x14ac:dyDescent="0.45">
      <c r="A34" s="56" t="s">
        <v>34</v>
      </c>
      <c r="B34" s="57"/>
      <c r="C34" s="57"/>
      <c r="D34" s="57"/>
      <c r="E34" s="58"/>
      <c r="F34" s="59" t="s">
        <v>34</v>
      </c>
      <c r="G34" s="59"/>
      <c r="H34" s="59"/>
      <c r="I34" s="59"/>
      <c r="J34" s="59"/>
      <c r="K34" s="59"/>
      <c r="L34" s="59"/>
      <c r="M34" s="59"/>
    </row>
    <row r="35" spans="1:13" ht="21.9" customHeight="1" thickTop="1" x14ac:dyDescent="0.4">
      <c r="A35" s="60" t="s">
        <v>44</v>
      </c>
      <c r="B35" s="62" t="s">
        <v>15</v>
      </c>
      <c r="C35" s="62" t="s">
        <v>16</v>
      </c>
      <c r="D35" s="62" t="s">
        <v>17</v>
      </c>
      <c r="E35" s="98" t="s">
        <v>18</v>
      </c>
      <c r="F35" s="60" t="s">
        <v>44</v>
      </c>
      <c r="G35" s="100" t="s">
        <v>18</v>
      </c>
      <c r="H35" s="100" t="s">
        <v>30</v>
      </c>
      <c r="I35" s="72" t="s">
        <v>42</v>
      </c>
      <c r="J35" s="74" t="s">
        <v>43</v>
      </c>
      <c r="K35" s="76" t="s">
        <v>9</v>
      </c>
      <c r="L35" s="224" t="s">
        <v>19</v>
      </c>
      <c r="M35" s="226" t="s">
        <v>7</v>
      </c>
    </row>
    <row r="36" spans="1:13" ht="21.9" customHeight="1" x14ac:dyDescent="0.4">
      <c r="A36" s="61"/>
      <c r="B36" s="63"/>
      <c r="C36" s="63"/>
      <c r="D36" s="63"/>
      <c r="E36" s="99"/>
      <c r="F36" s="61"/>
      <c r="G36" s="101"/>
      <c r="H36" s="101"/>
      <c r="I36" s="73"/>
      <c r="J36" s="75"/>
      <c r="K36" s="77"/>
      <c r="L36" s="225"/>
      <c r="M36" s="227"/>
    </row>
    <row r="37" spans="1:13" ht="21.9" customHeight="1" x14ac:dyDescent="0.4">
      <c r="A37" s="46" t="s">
        <v>27</v>
      </c>
      <c r="B37" s="10"/>
      <c r="C37" s="1"/>
      <c r="D37" s="1"/>
      <c r="E37" s="11" t="s">
        <v>28</v>
      </c>
      <c r="F37" s="48" t="str">
        <f>A37</f>
        <v>Spurious</v>
      </c>
      <c r="G37" s="50" t="str">
        <f>IF(COUNT(B37:D37)=0, "H", IF(COUNT(B38:D38)=0, "V", IF(MAX(B37:D37) &gt;= MAX(B38:D38), "V", "H")))</f>
        <v>H</v>
      </c>
      <c r="H37" s="52">
        <f>MAX(B37:D38)</f>
        <v>0</v>
      </c>
      <c r="I37" s="54">
        <v>-47</v>
      </c>
      <c r="J37" s="64" t="str">
        <f>IF(OR(I37-H37&gt;10,I37-H37=-47),"No Peak Found",I37-H37)</f>
        <v>No Peak Found</v>
      </c>
      <c r="K37" s="66" t="s">
        <v>8</v>
      </c>
      <c r="L37" s="220" t="str">
        <f>IF(OR(COUNTIF(B37:D38, "-")+COUNTBLANK(B37:D38)=6), "Pass", IF(H37 &gt; I37, "Fail", IF(J37 &lt; 3, "Margin 부족", "Pass")))</f>
        <v>Pass</v>
      </c>
      <c r="M37" s="222" t="s">
        <v>11</v>
      </c>
    </row>
    <row r="38" spans="1:13" ht="21.9" customHeight="1" thickBot="1" x14ac:dyDescent="0.45">
      <c r="A38" s="47"/>
      <c r="B38" s="2"/>
      <c r="C38" s="2"/>
      <c r="D38" s="2"/>
      <c r="E38" s="12" t="s">
        <v>29</v>
      </c>
      <c r="F38" s="49"/>
      <c r="G38" s="51"/>
      <c r="H38" s="53"/>
      <c r="I38" s="55"/>
      <c r="J38" s="65"/>
      <c r="K38" s="67"/>
      <c r="L38" s="221"/>
      <c r="M38" s="223"/>
    </row>
    <row r="39" spans="1:13" ht="21.9" customHeight="1" x14ac:dyDescent="0.4"/>
  </sheetData>
  <mergeCells count="153">
    <mergeCell ref="B1:D1"/>
    <mergeCell ref="E1:F2"/>
    <mergeCell ref="G1:M1"/>
    <mergeCell ref="B2:D2"/>
    <mergeCell ref="G2:M2"/>
    <mergeCell ref="A3:M4"/>
    <mergeCell ref="H7:H8"/>
    <mergeCell ref="I7:M8"/>
    <mergeCell ref="A9:E10"/>
    <mergeCell ref="F9:M10"/>
    <mergeCell ref="A11:E11"/>
    <mergeCell ref="F11:M11"/>
    <mergeCell ref="G5:G6"/>
    <mergeCell ref="H5:H6"/>
    <mergeCell ref="I5:M6"/>
    <mergeCell ref="A7:A8"/>
    <mergeCell ref="B7:B8"/>
    <mergeCell ref="C7:C8"/>
    <mergeCell ref="D7:D8"/>
    <mergeCell ref="E7:E8"/>
    <mergeCell ref="F7:F8"/>
    <mergeCell ref="G7:G8"/>
    <mergeCell ref="A5:A6"/>
    <mergeCell ref="B5:B6"/>
    <mergeCell ref="C5:C6"/>
    <mergeCell ref="D5:D6"/>
    <mergeCell ref="E5:E6"/>
    <mergeCell ref="F5:F6"/>
    <mergeCell ref="M12:M13"/>
    <mergeCell ref="A14:A15"/>
    <mergeCell ref="F14:F15"/>
    <mergeCell ref="G14:G15"/>
    <mergeCell ref="H14:H15"/>
    <mergeCell ref="I14:I15"/>
    <mergeCell ref="J14:J15"/>
    <mergeCell ref="K14:K15"/>
    <mergeCell ref="L14:L15"/>
    <mergeCell ref="M14:M15"/>
    <mergeCell ref="G12:G13"/>
    <mergeCell ref="H12:H13"/>
    <mergeCell ref="I12:I13"/>
    <mergeCell ref="J12:J13"/>
    <mergeCell ref="K12:K13"/>
    <mergeCell ref="L12:L13"/>
    <mergeCell ref="A12:A13"/>
    <mergeCell ref="B12:B13"/>
    <mergeCell ref="C12:C13"/>
    <mergeCell ref="D12:D13"/>
    <mergeCell ref="E12:E13"/>
    <mergeCell ref="F12:F13"/>
    <mergeCell ref="A16:E16"/>
    <mergeCell ref="F16:M16"/>
    <mergeCell ref="A17:A18"/>
    <mergeCell ref="B17:B18"/>
    <mergeCell ref="C17:C18"/>
    <mergeCell ref="D17:D18"/>
    <mergeCell ref="E17:E18"/>
    <mergeCell ref="F17:F18"/>
    <mergeCell ref="G17:G18"/>
    <mergeCell ref="H17:H18"/>
    <mergeCell ref="I17:I18"/>
    <mergeCell ref="J17:J18"/>
    <mergeCell ref="K17:K18"/>
    <mergeCell ref="L17:L18"/>
    <mergeCell ref="M17:M18"/>
    <mergeCell ref="A19:A20"/>
    <mergeCell ref="F19:F20"/>
    <mergeCell ref="G19:G20"/>
    <mergeCell ref="H19:H20"/>
    <mergeCell ref="I19:I20"/>
    <mergeCell ref="J19:J20"/>
    <mergeCell ref="K19:K20"/>
    <mergeCell ref="L19:L20"/>
    <mergeCell ref="M19:M20"/>
    <mergeCell ref="N25:P25"/>
    <mergeCell ref="N26:P26"/>
    <mergeCell ref="A21:A22"/>
    <mergeCell ref="F21:F22"/>
    <mergeCell ref="G21:G22"/>
    <mergeCell ref="H21:H22"/>
    <mergeCell ref="I21:I22"/>
    <mergeCell ref="J21:J22"/>
    <mergeCell ref="K21:K22"/>
    <mergeCell ref="L21:L22"/>
    <mergeCell ref="M21:M22"/>
    <mergeCell ref="A27:E28"/>
    <mergeCell ref="F27:M28"/>
    <mergeCell ref="A29:E29"/>
    <mergeCell ref="F29:M29"/>
    <mergeCell ref="L23:L24"/>
    <mergeCell ref="M23:M24"/>
    <mergeCell ref="A25:A26"/>
    <mergeCell ref="F25:F26"/>
    <mergeCell ref="G25:G26"/>
    <mergeCell ref="H25:H26"/>
    <mergeCell ref="I25:I26"/>
    <mergeCell ref="J25:J26"/>
    <mergeCell ref="K25:K26"/>
    <mergeCell ref="L25:L26"/>
    <mergeCell ref="A23:A24"/>
    <mergeCell ref="F23:F24"/>
    <mergeCell ref="G23:G24"/>
    <mergeCell ref="H23:H24"/>
    <mergeCell ref="I23:I24"/>
    <mergeCell ref="J23:J24"/>
    <mergeCell ref="K23:K24"/>
    <mergeCell ref="M25:M26"/>
    <mergeCell ref="M30:M31"/>
    <mergeCell ref="A32:A33"/>
    <mergeCell ref="F32:F33"/>
    <mergeCell ref="G32:G33"/>
    <mergeCell ref="H32:H33"/>
    <mergeCell ref="I32:I33"/>
    <mergeCell ref="J32:J33"/>
    <mergeCell ref="K32:K33"/>
    <mergeCell ref="L32:L33"/>
    <mergeCell ref="M32:M33"/>
    <mergeCell ref="G30:G31"/>
    <mergeCell ref="H30:H31"/>
    <mergeCell ref="I30:I31"/>
    <mergeCell ref="J30:J31"/>
    <mergeCell ref="K30:K31"/>
    <mergeCell ref="L30:L31"/>
    <mergeCell ref="A30:A31"/>
    <mergeCell ref="B30:B31"/>
    <mergeCell ref="C30:C31"/>
    <mergeCell ref="D30:D31"/>
    <mergeCell ref="E30:E31"/>
    <mergeCell ref="F30:F31"/>
    <mergeCell ref="A37:A38"/>
    <mergeCell ref="F37:F38"/>
    <mergeCell ref="G37:G38"/>
    <mergeCell ref="H37:H38"/>
    <mergeCell ref="I37:I38"/>
    <mergeCell ref="A34:E34"/>
    <mergeCell ref="F34:M34"/>
    <mergeCell ref="A35:A36"/>
    <mergeCell ref="B35:B36"/>
    <mergeCell ref="C35:C36"/>
    <mergeCell ref="D35:D36"/>
    <mergeCell ref="E35:E36"/>
    <mergeCell ref="F35:F36"/>
    <mergeCell ref="G35:G36"/>
    <mergeCell ref="H35:H36"/>
    <mergeCell ref="J37:J38"/>
    <mergeCell ref="K37:K38"/>
    <mergeCell ref="L37:L38"/>
    <mergeCell ref="M37:M38"/>
    <mergeCell ref="I35:I36"/>
    <mergeCell ref="J35:J36"/>
    <mergeCell ref="K35:K36"/>
    <mergeCell ref="L35:L36"/>
    <mergeCell ref="M35:M36"/>
  </mergeCells>
  <phoneticPr fontId="1" type="noConversion"/>
  <conditionalFormatting sqref="J14">
    <cfRule type="cellIs" dxfId="171" priority="30" operator="lessThan">
      <formula>10</formula>
    </cfRule>
  </conditionalFormatting>
  <conditionalFormatting sqref="J14">
    <cfRule type="cellIs" dxfId="170" priority="29" operator="equal">
      <formula>-36</formula>
    </cfRule>
  </conditionalFormatting>
  <conditionalFormatting sqref="L14">
    <cfRule type="cellIs" dxfId="169" priority="28" operator="equal">
      <formula>"Fail"</formula>
    </cfRule>
  </conditionalFormatting>
  <conditionalFormatting sqref="L19">
    <cfRule type="cellIs" dxfId="168" priority="25" operator="equal">
      <formula>"Fail"</formula>
    </cfRule>
  </conditionalFormatting>
  <conditionalFormatting sqref="L21">
    <cfRule type="cellIs" dxfId="167" priority="24" operator="equal">
      <formula>"Fail"</formula>
    </cfRule>
  </conditionalFormatting>
  <conditionalFormatting sqref="L23">
    <cfRule type="cellIs" dxfId="166" priority="23" operator="equal">
      <formula>"Fail"</formula>
    </cfRule>
  </conditionalFormatting>
  <conditionalFormatting sqref="L25">
    <cfRule type="cellIs" dxfId="165" priority="22" operator="equal">
      <formula>"Fail"</formula>
    </cfRule>
  </conditionalFormatting>
  <conditionalFormatting sqref="V28">
    <cfRule type="cellIs" dxfId="164" priority="21" operator="equal">
      <formula>"Fail"</formula>
    </cfRule>
  </conditionalFormatting>
  <conditionalFormatting sqref="L14:L15 L19:L26">
    <cfRule type="cellIs" dxfId="163" priority="20" operator="equal">
      <formula>"Pass"</formula>
    </cfRule>
  </conditionalFormatting>
  <conditionalFormatting sqref="L32">
    <cfRule type="cellIs" dxfId="162" priority="19" operator="equal">
      <formula>"Fail"</formula>
    </cfRule>
  </conditionalFormatting>
  <conditionalFormatting sqref="L32:L33">
    <cfRule type="cellIs" dxfId="161" priority="18" operator="equal">
      <formula>"Pass"</formula>
    </cfRule>
  </conditionalFormatting>
  <conditionalFormatting sqref="L37">
    <cfRule type="cellIs" dxfId="160" priority="17" operator="equal">
      <formula>"Fail"</formula>
    </cfRule>
  </conditionalFormatting>
  <conditionalFormatting sqref="L37:L38">
    <cfRule type="cellIs" dxfId="159" priority="16" operator="equal">
      <formula>"Pass"</formula>
    </cfRule>
  </conditionalFormatting>
  <conditionalFormatting sqref="B14:D15">
    <cfRule type="top10" dxfId="158" priority="15" rank="1"/>
  </conditionalFormatting>
  <conditionalFormatting sqref="J19 J21 J23 J25">
    <cfRule type="expression" dxfId="157" priority="4">
      <formula>J19=-30</formula>
    </cfRule>
    <cfRule type="expression" dxfId="156" priority="10">
      <formula>AND(J19&gt;3,J19&lt;10)</formula>
    </cfRule>
    <cfRule type="expression" dxfId="155" priority="9">
      <formula>AND(J19&lt;&gt;-30,J19&lt;=3)</formula>
    </cfRule>
  </conditionalFormatting>
  <conditionalFormatting sqref="B19:D20">
    <cfRule type="top10" dxfId="154" priority="8" rank="1"/>
  </conditionalFormatting>
  <conditionalFormatting sqref="B21:D22">
    <cfRule type="top10" dxfId="153" priority="3" rank="1"/>
  </conditionalFormatting>
  <conditionalFormatting sqref="B23:D24">
    <cfRule type="top10" dxfId="152" priority="2" rank="1"/>
  </conditionalFormatting>
  <conditionalFormatting sqref="B25:D26">
    <cfRule type="top10" dxfId="151" priority="1" rank="1"/>
  </conditionalFormatting>
  <dataValidations count="1">
    <dataValidation type="list" allowBlank="1" showInputMessage="1" showErrorMessage="1" sqref="M14 M25 M19 M21 M23 M37:M38 M32:M33" xr:uid="{E2D6CFCE-8C94-4CD7-BC7E-E22E1BCB48B9}">
      <formula1>"Fundamental, Harmonic, Noise Floor, -"</formula1>
    </dataValidation>
  </dataValidations>
  <pageMargins left="0.7" right="0.7" top="0.75" bottom="0.75" header="0.3" footer="0.3"/>
  <pageSetup paperSize="9" scale="27" orientation="portrait" r:id="rId1"/>
  <colBreaks count="1" manualBreakCount="1">
    <brk id="13" max="37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2E8EDD-BBB1-4C88-B4B0-D73BD1D95775}">
  <dimension ref="A1:P39"/>
  <sheetViews>
    <sheetView view="pageBreakPreview" zoomScale="85" zoomScaleNormal="100" zoomScaleSheetLayoutView="85" workbookViewId="0"/>
  </sheetViews>
  <sheetFormatPr defaultRowHeight="17.399999999999999" outlineLevelCol="1" x14ac:dyDescent="0.4"/>
  <cols>
    <col min="1" max="11" width="12.59765625" style="6" customWidth="1"/>
    <col min="12" max="13" width="12.59765625" hidden="1" customWidth="1" outlineLevel="1"/>
    <col min="14" max="14" width="12.59765625" customWidth="1" collapsed="1"/>
    <col min="15" max="22" width="12.59765625" customWidth="1"/>
  </cols>
  <sheetData>
    <row r="1" spans="1:13" ht="20.100000000000001" customHeight="1" x14ac:dyDescent="0.4">
      <c r="A1" s="5" t="s">
        <v>14</v>
      </c>
      <c r="B1" s="188"/>
      <c r="C1" s="189"/>
      <c r="D1" s="190"/>
      <c r="E1" s="191" t="s">
        <v>35</v>
      </c>
      <c r="F1" s="192"/>
      <c r="G1" s="188" t="s">
        <v>36</v>
      </c>
      <c r="H1" s="189"/>
      <c r="I1" s="189"/>
      <c r="J1" s="189"/>
      <c r="K1" s="189"/>
      <c r="L1" s="189"/>
      <c r="M1" s="190"/>
    </row>
    <row r="2" spans="1:13" ht="20.100000000000001" customHeight="1" thickBot="1" x14ac:dyDescent="0.45">
      <c r="A2" s="18" t="s">
        <v>47</v>
      </c>
      <c r="B2" s="195"/>
      <c r="C2" s="196"/>
      <c r="D2" s="197"/>
      <c r="E2" s="193"/>
      <c r="F2" s="194"/>
      <c r="G2" s="195" t="s">
        <v>45</v>
      </c>
      <c r="H2" s="196"/>
      <c r="I2" s="196"/>
      <c r="J2" s="196"/>
      <c r="K2" s="196"/>
      <c r="L2" s="196"/>
      <c r="M2" s="197"/>
    </row>
    <row r="3" spans="1:13" ht="24.9" customHeight="1" x14ac:dyDescent="0.4">
      <c r="A3" s="198" t="s">
        <v>48</v>
      </c>
      <c r="B3" s="199"/>
      <c r="C3" s="199"/>
      <c r="D3" s="199"/>
      <c r="E3" s="199"/>
      <c r="F3" s="199"/>
      <c r="G3" s="199"/>
      <c r="H3" s="199"/>
      <c r="I3" s="199"/>
      <c r="J3" s="199"/>
      <c r="K3" s="199"/>
      <c r="L3" s="199"/>
      <c r="M3" s="200"/>
    </row>
    <row r="4" spans="1:13" ht="24.9" customHeight="1" thickBot="1" x14ac:dyDescent="0.45">
      <c r="A4" s="201"/>
      <c r="B4" s="202"/>
      <c r="C4" s="202"/>
      <c r="D4" s="202"/>
      <c r="E4" s="202"/>
      <c r="F4" s="202"/>
      <c r="G4" s="202"/>
      <c r="H4" s="202"/>
      <c r="I4" s="202"/>
      <c r="J4" s="202"/>
      <c r="K4" s="202"/>
      <c r="L4" s="202"/>
      <c r="M4" s="203"/>
    </row>
    <row r="5" spans="1:13" ht="24.9" customHeight="1" x14ac:dyDescent="0.4">
      <c r="A5" s="186" t="s">
        <v>20</v>
      </c>
      <c r="B5" s="278" t="s">
        <v>23</v>
      </c>
      <c r="C5" s="274" t="s">
        <v>25</v>
      </c>
      <c r="D5" s="274" t="s">
        <v>21</v>
      </c>
      <c r="E5" s="274" t="s">
        <v>22</v>
      </c>
      <c r="F5" s="274" t="s">
        <v>26</v>
      </c>
      <c r="G5" s="272" t="s">
        <v>38</v>
      </c>
      <c r="H5" s="274" t="s">
        <v>37</v>
      </c>
      <c r="I5" s="281" t="s">
        <v>39</v>
      </c>
      <c r="J5" s="207"/>
      <c r="K5" s="207"/>
      <c r="L5" s="207"/>
      <c r="M5" s="282"/>
    </row>
    <row r="6" spans="1:13" ht="20.100000000000001" customHeight="1" x14ac:dyDescent="0.4">
      <c r="A6" s="187"/>
      <c r="B6" s="279"/>
      <c r="C6" s="275"/>
      <c r="D6" s="275"/>
      <c r="E6" s="275"/>
      <c r="F6" s="275"/>
      <c r="G6" s="273"/>
      <c r="H6" s="275"/>
      <c r="I6" s="283"/>
      <c r="J6" s="284"/>
      <c r="K6" s="284"/>
      <c r="L6" s="284"/>
      <c r="M6" s="285"/>
    </row>
    <row r="7" spans="1:13" ht="20.100000000000001" customHeight="1" x14ac:dyDescent="0.4">
      <c r="A7" s="204" t="s">
        <v>60</v>
      </c>
      <c r="B7" s="276"/>
      <c r="C7" s="264"/>
      <c r="D7" s="264"/>
      <c r="E7" s="263"/>
      <c r="F7" s="263"/>
      <c r="G7" s="263">
        <v>15</v>
      </c>
      <c r="H7" s="264"/>
      <c r="I7" s="292"/>
      <c r="J7" s="293"/>
      <c r="K7" s="293"/>
      <c r="L7" s="293"/>
      <c r="M7" s="294"/>
    </row>
    <row r="8" spans="1:13" ht="20.100000000000001" customHeight="1" thickBot="1" x14ac:dyDescent="0.45">
      <c r="A8" s="205"/>
      <c r="B8" s="277"/>
      <c r="C8" s="265"/>
      <c r="D8" s="265"/>
      <c r="E8" s="264"/>
      <c r="F8" s="264"/>
      <c r="G8" s="264"/>
      <c r="H8" s="265"/>
      <c r="I8" s="295"/>
      <c r="J8" s="296"/>
      <c r="K8" s="296"/>
      <c r="L8" s="296"/>
      <c r="M8" s="297"/>
    </row>
    <row r="9" spans="1:13" ht="24.9" customHeight="1" x14ac:dyDescent="0.4">
      <c r="A9" s="174" t="s">
        <v>12</v>
      </c>
      <c r="B9" s="175"/>
      <c r="C9" s="175"/>
      <c r="D9" s="175"/>
      <c r="E9" s="178"/>
      <c r="F9" s="271" t="s">
        <v>40</v>
      </c>
      <c r="G9" s="267"/>
      <c r="H9" s="267"/>
      <c r="I9" s="267"/>
      <c r="J9" s="267"/>
      <c r="K9" s="267"/>
      <c r="L9" s="267"/>
      <c r="M9" s="268"/>
    </row>
    <row r="10" spans="1:13" ht="24.9" customHeight="1" x14ac:dyDescent="0.4">
      <c r="A10" s="176"/>
      <c r="B10" s="177"/>
      <c r="C10" s="177"/>
      <c r="D10" s="177"/>
      <c r="E10" s="254"/>
      <c r="F10" s="177"/>
      <c r="G10" s="177"/>
      <c r="H10" s="177"/>
      <c r="I10" s="177"/>
      <c r="J10" s="177"/>
      <c r="K10" s="177"/>
      <c r="L10" s="177"/>
      <c r="M10" s="270"/>
    </row>
    <row r="11" spans="1:13" ht="21.9" customHeight="1" thickBot="1" x14ac:dyDescent="0.45">
      <c r="A11" s="255" t="s">
        <v>6</v>
      </c>
      <c r="B11" s="256"/>
      <c r="C11" s="256"/>
      <c r="D11" s="256"/>
      <c r="E11" s="257"/>
      <c r="F11" s="256" t="s">
        <v>6</v>
      </c>
      <c r="G11" s="256"/>
      <c r="H11" s="256"/>
      <c r="I11" s="256"/>
      <c r="J11" s="59"/>
      <c r="K11" s="256"/>
      <c r="L11" s="256"/>
      <c r="M11" s="258"/>
    </row>
    <row r="12" spans="1:13" ht="21.9" customHeight="1" thickTop="1" x14ac:dyDescent="0.4">
      <c r="A12" s="252" t="s">
        <v>44</v>
      </c>
      <c r="B12" s="62" t="s">
        <v>4</v>
      </c>
      <c r="C12" s="62" t="s">
        <v>16</v>
      </c>
      <c r="D12" s="62" t="s">
        <v>3</v>
      </c>
      <c r="E12" s="253" t="s">
        <v>2</v>
      </c>
      <c r="F12" s="146" t="s">
        <v>44</v>
      </c>
      <c r="G12" s="100" t="s">
        <v>18</v>
      </c>
      <c r="H12" s="100" t="s">
        <v>30</v>
      </c>
      <c r="I12" s="72" t="s">
        <v>42</v>
      </c>
      <c r="J12" s="74" t="s">
        <v>43</v>
      </c>
      <c r="K12" s="146" t="s">
        <v>9</v>
      </c>
      <c r="L12" s="224" t="s">
        <v>19</v>
      </c>
      <c r="M12" s="226" t="s">
        <v>7</v>
      </c>
    </row>
    <row r="13" spans="1:13" ht="21.9" customHeight="1" x14ac:dyDescent="0.4">
      <c r="A13" s="129"/>
      <c r="B13" s="63"/>
      <c r="C13" s="63"/>
      <c r="D13" s="63"/>
      <c r="E13" s="133"/>
      <c r="F13" s="147"/>
      <c r="G13" s="101"/>
      <c r="H13" s="101"/>
      <c r="I13" s="73"/>
      <c r="J13" s="75"/>
      <c r="K13" s="147"/>
      <c r="L13" s="225"/>
      <c r="M13" s="227"/>
    </row>
    <row r="14" spans="1:13" ht="21.9" customHeight="1" x14ac:dyDescent="0.4">
      <c r="A14" s="246" t="s">
        <v>27</v>
      </c>
      <c r="B14" s="3"/>
      <c r="C14" s="3"/>
      <c r="D14" s="3"/>
      <c r="E14" s="15" t="s">
        <v>28</v>
      </c>
      <c r="F14" s="248" t="str">
        <f>A14</f>
        <v>Spurious</v>
      </c>
      <c r="G14" s="42" t="str">
        <f>IF(COUNT(B14:D14)=0, "H", IF(COUNT(B15:D15)=0, "V", IF(MAX(B14:D14) &gt;= MAX(B15:D15), "V", "H")))</f>
        <v>H</v>
      </c>
      <c r="H14" s="44">
        <f>MAX(B14:D15)</f>
        <v>0</v>
      </c>
      <c r="I14" s="120">
        <v>-36</v>
      </c>
      <c r="J14" s="134" t="str">
        <f>IF(OR(I14-H14&gt;10,I14-H14=-36),"No Peak Found",I14-H14)</f>
        <v>No Peak Found</v>
      </c>
      <c r="K14" s="136" t="s">
        <v>8</v>
      </c>
      <c r="L14" s="220" t="str">
        <f>IF(OR(COUNTIF(B14:D15, "-")+COUNTBLANK(B14:D15)=6), "Pass", IF(H14 &gt; I14, "Fail", IF(J14 &lt; 3, "Margin 부족", "Pass")))</f>
        <v>Pass</v>
      </c>
      <c r="M14" s="250" t="s">
        <v>11</v>
      </c>
    </row>
    <row r="15" spans="1:13" ht="21.9" customHeight="1" thickBot="1" x14ac:dyDescent="0.45">
      <c r="A15" s="247"/>
      <c r="B15" s="16"/>
      <c r="C15" s="16"/>
      <c r="D15" s="16"/>
      <c r="E15" s="17" t="s">
        <v>29</v>
      </c>
      <c r="F15" s="249"/>
      <c r="G15" s="163"/>
      <c r="H15" s="164"/>
      <c r="I15" s="165"/>
      <c r="J15" s="135"/>
      <c r="K15" s="166"/>
      <c r="L15" s="221"/>
      <c r="M15" s="251"/>
    </row>
    <row r="16" spans="1:13" ht="21.9" customHeight="1" thickBot="1" x14ac:dyDescent="0.45">
      <c r="A16" s="240" t="s">
        <v>46</v>
      </c>
      <c r="B16" s="59"/>
      <c r="C16" s="59"/>
      <c r="D16" s="59"/>
      <c r="E16" s="59"/>
      <c r="F16" s="142" t="s">
        <v>46</v>
      </c>
      <c r="G16" s="143"/>
      <c r="H16" s="143"/>
      <c r="I16" s="143"/>
      <c r="J16" s="59"/>
      <c r="K16" s="143"/>
      <c r="L16" s="144"/>
      <c r="M16" s="145"/>
    </row>
    <row r="17" spans="1:16" ht="21.9" customHeight="1" thickTop="1" x14ac:dyDescent="0.4">
      <c r="A17" s="60" t="s">
        <v>44</v>
      </c>
      <c r="B17" s="62" t="s">
        <v>15</v>
      </c>
      <c r="C17" s="62" t="s">
        <v>16</v>
      </c>
      <c r="D17" s="62" t="s">
        <v>17</v>
      </c>
      <c r="E17" s="98" t="s">
        <v>18</v>
      </c>
      <c r="F17" s="241" t="s">
        <v>44</v>
      </c>
      <c r="G17" s="122" t="s">
        <v>18</v>
      </c>
      <c r="H17" s="122" t="s">
        <v>30</v>
      </c>
      <c r="I17" s="123" t="s">
        <v>42</v>
      </c>
      <c r="J17" s="74" t="s">
        <v>43</v>
      </c>
      <c r="K17" s="124" t="s">
        <v>9</v>
      </c>
      <c r="L17" s="242" t="s">
        <v>19</v>
      </c>
      <c r="M17" s="244" t="s">
        <v>7</v>
      </c>
    </row>
    <row r="18" spans="1:16" ht="21.75" customHeight="1" x14ac:dyDescent="0.4">
      <c r="A18" s="61"/>
      <c r="B18" s="131"/>
      <c r="C18" s="131"/>
      <c r="D18" s="131"/>
      <c r="E18" s="99"/>
      <c r="F18" s="147"/>
      <c r="G18" s="101"/>
      <c r="H18" s="101"/>
      <c r="I18" s="73"/>
      <c r="J18" s="75"/>
      <c r="K18" s="125"/>
      <c r="L18" s="243"/>
      <c r="M18" s="245"/>
    </row>
    <row r="19" spans="1:16" ht="21.9" customHeight="1" x14ac:dyDescent="0.4">
      <c r="A19" s="228">
        <f>I7*2</f>
        <v>0</v>
      </c>
      <c r="B19" s="4"/>
      <c r="C19" s="4"/>
      <c r="D19" s="4"/>
      <c r="E19" s="19" t="s">
        <v>1</v>
      </c>
      <c r="F19" s="237">
        <f>$A$19</f>
        <v>0</v>
      </c>
      <c r="G19" s="42" t="str">
        <f>IF(COUNT(B19:D19)=0, "H", IF(COUNT(B20:D20)=0, "V", IF(MAX(B19:D19) &gt;= MAX(B20:D20), "V", "H")))</f>
        <v>H</v>
      </c>
      <c r="H19" s="44">
        <f>MAX(B19:D20)</f>
        <v>0</v>
      </c>
      <c r="I19" s="120">
        <v>-30</v>
      </c>
      <c r="J19" s="111" t="str">
        <f>IF(OR(I19-H19&gt;10,I19-H19=-30),"No Peak Found",I19-H19)</f>
        <v>No Peak Found</v>
      </c>
      <c r="K19" s="121" t="s">
        <v>8</v>
      </c>
      <c r="L19" s="232" t="str">
        <f>IF(OR(COUNTIF(B19:D20, "-")+COUNTBLANK(B19:D20)=6), "Pass", IF(H19 &gt; I19, "Fail", IF(J19 &lt; 3, "Margin 부족", "Pass")))</f>
        <v>Pass</v>
      </c>
      <c r="M19" s="234" t="s">
        <v>10</v>
      </c>
    </row>
    <row r="20" spans="1:16" ht="21.9" customHeight="1" x14ac:dyDescent="0.4">
      <c r="A20" s="236"/>
      <c r="B20" s="4"/>
      <c r="C20" s="4"/>
      <c r="D20" s="4"/>
      <c r="E20" s="19" t="s">
        <v>0</v>
      </c>
      <c r="F20" s="237"/>
      <c r="G20" s="42"/>
      <c r="H20" s="44"/>
      <c r="I20" s="120"/>
      <c r="J20" s="112"/>
      <c r="K20" s="121"/>
      <c r="L20" s="238"/>
      <c r="M20" s="239"/>
    </row>
    <row r="21" spans="1:16" ht="21.9" customHeight="1" x14ac:dyDescent="0.4">
      <c r="A21" s="228">
        <f>I7*3</f>
        <v>0</v>
      </c>
      <c r="B21" s="4"/>
      <c r="C21" s="4"/>
      <c r="D21" s="4"/>
      <c r="E21" s="19" t="s">
        <v>1</v>
      </c>
      <c r="F21" s="230">
        <f>$A$21</f>
        <v>0</v>
      </c>
      <c r="G21" s="42" t="str">
        <f>IF(COUNT(B21:D21)=0, "H", IF(COUNT(B22:D22)=0, "V", IF(MAX(B21:D21) &gt;= MAX(B22:D22), "V", "H")))</f>
        <v>H</v>
      </c>
      <c r="H21" s="44">
        <f>MAX(B21:D22)</f>
        <v>0</v>
      </c>
      <c r="I21" s="110">
        <v>-30</v>
      </c>
      <c r="J21" s="111" t="str">
        <f t="shared" ref="J21" si="0">IF(OR(I21-H21&gt;10,I21-H21=-30),"No Peak Found",I21-H21)</f>
        <v>No Peak Found</v>
      </c>
      <c r="K21" s="104" t="s">
        <v>8</v>
      </c>
      <c r="L21" s="232" t="str">
        <f>IF(OR(COUNTIF(B21:D22, "-")+COUNTBLANK(B21:D22)=6), "Pass", IF(H21 &gt; I21, "Fail", IF(J21 &lt; 3, "Margin 부족", "Pass")))</f>
        <v>Pass</v>
      </c>
      <c r="M21" s="234" t="s">
        <v>10</v>
      </c>
    </row>
    <row r="22" spans="1:16" ht="21.9" customHeight="1" x14ac:dyDescent="0.4">
      <c r="A22" s="236"/>
      <c r="B22" s="4"/>
      <c r="C22" s="4"/>
      <c r="D22" s="4"/>
      <c r="E22" s="19" t="s">
        <v>0</v>
      </c>
      <c r="F22" s="230"/>
      <c r="G22" s="42"/>
      <c r="H22" s="44"/>
      <c r="I22" s="110"/>
      <c r="J22" s="112"/>
      <c r="K22" s="104"/>
      <c r="L22" s="238"/>
      <c r="M22" s="239"/>
    </row>
    <row r="23" spans="1:16" ht="21.9" customHeight="1" x14ac:dyDescent="0.4">
      <c r="A23" s="228">
        <f>I7*4</f>
        <v>0</v>
      </c>
      <c r="B23" s="4"/>
      <c r="C23" s="4"/>
      <c r="D23" s="4"/>
      <c r="E23" s="19" t="s">
        <v>1</v>
      </c>
      <c r="F23" s="237">
        <f>$A$23</f>
        <v>0</v>
      </c>
      <c r="G23" s="42" t="str">
        <f>IF(COUNT(B23:D23)=0, "H", IF(COUNT(B24:D24)=0, "V", IF(MAX(B23:D23) &gt;= MAX(B24:D24), "V", "H")))</f>
        <v>H</v>
      </c>
      <c r="H23" s="44">
        <f>MAX(B23:D24)</f>
        <v>0</v>
      </c>
      <c r="I23" s="110">
        <v>-30</v>
      </c>
      <c r="J23" s="111" t="str">
        <f t="shared" ref="J23" si="1">IF(OR(I23-H23&gt;10,I23-H23=-30),"No Peak Found",I23-H23)</f>
        <v>No Peak Found</v>
      </c>
      <c r="K23" s="113" t="s">
        <v>8</v>
      </c>
      <c r="L23" s="232" t="str">
        <f>IF(OR(COUNTIF(B23:D24, "-")+COUNTBLANK(B23:D24)=6), "Pass", IF(H23 &gt; I23, "Fail", IF(J23 &lt; 3, "Margin 부족", "Pass")))</f>
        <v>Pass</v>
      </c>
      <c r="M23" s="234" t="s">
        <v>10</v>
      </c>
    </row>
    <row r="24" spans="1:16" ht="21.9" customHeight="1" x14ac:dyDescent="0.4">
      <c r="A24" s="236"/>
      <c r="B24" s="4"/>
      <c r="C24" s="4"/>
      <c r="D24" s="4"/>
      <c r="E24" s="19" t="s">
        <v>0</v>
      </c>
      <c r="F24" s="237"/>
      <c r="G24" s="42"/>
      <c r="H24" s="44"/>
      <c r="I24" s="110"/>
      <c r="J24" s="112"/>
      <c r="K24" s="113"/>
      <c r="L24" s="238"/>
      <c r="M24" s="239"/>
      <c r="N24" s="8" t="s">
        <v>7</v>
      </c>
      <c r="O24" s="6"/>
      <c r="P24" s="6"/>
    </row>
    <row r="25" spans="1:16" ht="21.9" customHeight="1" x14ac:dyDescent="0.4">
      <c r="A25" s="228">
        <f>I7*5</f>
        <v>0</v>
      </c>
      <c r="B25" s="4"/>
      <c r="C25" s="4"/>
      <c r="D25" s="4"/>
      <c r="E25" s="19" t="s">
        <v>1</v>
      </c>
      <c r="F25" s="230">
        <f>$A$25</f>
        <v>0</v>
      </c>
      <c r="G25" s="42" t="str">
        <f>IF(COUNT(B25:D25)=0, "H", IF(COUNT(B26:D26)=0, "V", IF(MAX(B25:D25) &gt;= MAX(B26:D26), "V", "H")))</f>
        <v>H</v>
      </c>
      <c r="H25" s="44">
        <f>MAX(B25:D26)</f>
        <v>0</v>
      </c>
      <c r="I25" s="110">
        <v>-30</v>
      </c>
      <c r="J25" s="111" t="str">
        <f t="shared" ref="J25" si="2">IF(OR(I25-H25&gt;10,I25-H25=-30),"No Peak Found",I25-H25)</f>
        <v>No Peak Found</v>
      </c>
      <c r="K25" s="113" t="s">
        <v>8</v>
      </c>
      <c r="L25" s="232" t="str">
        <f>IF(OR(COUNTIF(B25:D26, "-")+COUNTBLANK(B25:D26)=6), "Pass", IF(H25 &gt; I25, "Fail", IF(J25 &lt; 3, "Margin 부족", "Pass")))</f>
        <v>Pass</v>
      </c>
      <c r="M25" s="234" t="s">
        <v>10</v>
      </c>
      <c r="N25" s="82" t="str">
        <f>"1. LTE Band : " &amp; VALUE(RIGHT(A7, LEN(A7)-1))</f>
        <v>1. LTE Band : 20</v>
      </c>
      <c r="O25" s="83"/>
      <c r="P25" s="83"/>
    </row>
    <row r="26" spans="1:16" ht="21.9" customHeight="1" thickBot="1" x14ac:dyDescent="0.45">
      <c r="A26" s="229"/>
      <c r="B26" s="4"/>
      <c r="C26" s="4"/>
      <c r="D26" s="4"/>
      <c r="E26" s="20" t="s">
        <v>29</v>
      </c>
      <c r="F26" s="231"/>
      <c r="G26" s="43"/>
      <c r="H26" s="45"/>
      <c r="I26" s="114"/>
      <c r="J26" s="115"/>
      <c r="K26" s="116"/>
      <c r="L26" s="233"/>
      <c r="M26" s="235"/>
      <c r="N26" s="84" t="str">
        <f>"2. The test was performed the " &amp; H7 &amp; " antenna."</f>
        <v>2. The test was performed the  antenna.</v>
      </c>
      <c r="O26" s="85"/>
      <c r="P26" s="85"/>
    </row>
    <row r="27" spans="1:16" ht="24.9" customHeight="1" x14ac:dyDescent="0.4">
      <c r="A27" s="86" t="s">
        <v>13</v>
      </c>
      <c r="B27" s="87"/>
      <c r="C27" s="87"/>
      <c r="D27" s="87"/>
      <c r="E27" s="88"/>
      <c r="F27" s="90" t="s">
        <v>41</v>
      </c>
      <c r="G27" s="90"/>
      <c r="H27" s="90"/>
      <c r="I27" s="90"/>
      <c r="J27" s="90"/>
      <c r="K27" s="90"/>
      <c r="L27" s="90"/>
      <c r="M27" s="91"/>
    </row>
    <row r="28" spans="1:16" ht="24.9" customHeight="1" x14ac:dyDescent="0.4">
      <c r="A28" s="89"/>
      <c r="B28" s="87"/>
      <c r="C28" s="87"/>
      <c r="D28" s="87"/>
      <c r="E28" s="88"/>
      <c r="F28" s="92"/>
      <c r="G28" s="92"/>
      <c r="H28" s="92"/>
      <c r="I28" s="92"/>
      <c r="J28" s="92"/>
      <c r="K28" s="92"/>
      <c r="L28" s="92"/>
      <c r="M28" s="93"/>
      <c r="N28" s="8"/>
      <c r="O28" s="6"/>
      <c r="P28" s="6"/>
    </row>
    <row r="29" spans="1:16" ht="21.9" customHeight="1" thickBot="1" x14ac:dyDescent="0.45">
      <c r="A29" s="94" t="s">
        <v>5</v>
      </c>
      <c r="B29" s="95"/>
      <c r="C29" s="95"/>
      <c r="D29" s="95"/>
      <c r="E29" s="96"/>
      <c r="F29" s="97" t="s">
        <v>5</v>
      </c>
      <c r="G29" s="97"/>
      <c r="H29" s="97"/>
      <c r="I29" s="97"/>
      <c r="J29" s="97"/>
      <c r="K29" s="97"/>
      <c r="L29" s="97"/>
      <c r="M29" s="97"/>
    </row>
    <row r="30" spans="1:16" ht="21.9" customHeight="1" thickTop="1" x14ac:dyDescent="0.4">
      <c r="A30" s="60" t="s">
        <v>44</v>
      </c>
      <c r="B30" s="62" t="s">
        <v>15</v>
      </c>
      <c r="C30" s="62" t="s">
        <v>16</v>
      </c>
      <c r="D30" s="62" t="s">
        <v>17</v>
      </c>
      <c r="E30" s="98" t="s">
        <v>18</v>
      </c>
      <c r="F30" s="60" t="s">
        <v>44</v>
      </c>
      <c r="G30" s="100" t="s">
        <v>18</v>
      </c>
      <c r="H30" s="100" t="s">
        <v>30</v>
      </c>
      <c r="I30" s="72" t="s">
        <v>42</v>
      </c>
      <c r="J30" s="74" t="s">
        <v>43</v>
      </c>
      <c r="K30" s="76" t="s">
        <v>9</v>
      </c>
      <c r="L30" s="224" t="s">
        <v>19</v>
      </c>
      <c r="M30" s="226" t="s">
        <v>7</v>
      </c>
    </row>
    <row r="31" spans="1:16" ht="21.9" customHeight="1" x14ac:dyDescent="0.4">
      <c r="A31" s="61"/>
      <c r="B31" s="63"/>
      <c r="C31" s="63"/>
      <c r="D31" s="63"/>
      <c r="E31" s="99"/>
      <c r="F31" s="61"/>
      <c r="G31" s="101"/>
      <c r="H31" s="101"/>
      <c r="I31" s="73"/>
      <c r="J31" s="75"/>
      <c r="K31" s="77"/>
      <c r="L31" s="225"/>
      <c r="M31" s="227"/>
    </row>
    <row r="32" spans="1:16" ht="21.9" customHeight="1" x14ac:dyDescent="0.4">
      <c r="A32" s="46" t="s">
        <v>27</v>
      </c>
      <c r="B32" s="10"/>
      <c r="C32" s="1"/>
      <c r="D32" s="1"/>
      <c r="E32" s="11" t="s">
        <v>28</v>
      </c>
      <c r="F32" s="48" t="str">
        <f>A32</f>
        <v>Spurious</v>
      </c>
      <c r="G32" s="50" t="str">
        <f>IF(COUNT(B32:D32)=0, "H", IF(COUNT(B33:D33)=0, "V", IF(MAX(B32:D32) &gt;= MAX(B33:D33), "V", "H")))</f>
        <v>H</v>
      </c>
      <c r="H32" s="52">
        <f>MAX(B32:D33)</f>
        <v>0</v>
      </c>
      <c r="I32" s="54">
        <v>-57</v>
      </c>
      <c r="J32" s="64" t="str">
        <f>IF(OR(I32-H32&gt;10,I32-H32=-57),"No Peak Found",I32-H32)</f>
        <v>No Peak Found</v>
      </c>
      <c r="K32" s="66" t="s">
        <v>8</v>
      </c>
      <c r="L32" s="220" t="str">
        <f>IF(OR(COUNTIF(B32:D33, "-")+COUNTBLANK(B32:D33)=6), "Pass", IF(H32 &gt; I32, "Fail", IF(J32 &lt; 3, "Margin 부족", "Pass")))</f>
        <v>Pass</v>
      </c>
      <c r="M32" s="222" t="s">
        <v>11</v>
      </c>
    </row>
    <row r="33" spans="1:13" ht="21.9" customHeight="1" thickBot="1" x14ac:dyDescent="0.45">
      <c r="A33" s="47"/>
      <c r="B33" s="2"/>
      <c r="C33" s="2"/>
      <c r="D33" s="2"/>
      <c r="E33" s="12" t="s">
        <v>29</v>
      </c>
      <c r="F33" s="49"/>
      <c r="G33" s="51"/>
      <c r="H33" s="53"/>
      <c r="I33" s="55"/>
      <c r="J33" s="65"/>
      <c r="K33" s="67"/>
      <c r="L33" s="221"/>
      <c r="M33" s="223"/>
    </row>
    <row r="34" spans="1:13" ht="21.9" customHeight="1" thickBot="1" x14ac:dyDescent="0.45">
      <c r="A34" s="56" t="s">
        <v>34</v>
      </c>
      <c r="B34" s="57"/>
      <c r="C34" s="57"/>
      <c r="D34" s="57"/>
      <c r="E34" s="58"/>
      <c r="F34" s="59" t="s">
        <v>34</v>
      </c>
      <c r="G34" s="59"/>
      <c r="H34" s="59"/>
      <c r="I34" s="59"/>
      <c r="J34" s="59"/>
      <c r="K34" s="59"/>
      <c r="L34" s="59"/>
      <c r="M34" s="59"/>
    </row>
    <row r="35" spans="1:13" ht="21.9" customHeight="1" thickTop="1" x14ac:dyDescent="0.4">
      <c r="A35" s="60" t="s">
        <v>44</v>
      </c>
      <c r="B35" s="62" t="s">
        <v>15</v>
      </c>
      <c r="C35" s="62" t="s">
        <v>16</v>
      </c>
      <c r="D35" s="62" t="s">
        <v>17</v>
      </c>
      <c r="E35" s="98" t="s">
        <v>18</v>
      </c>
      <c r="F35" s="60" t="s">
        <v>44</v>
      </c>
      <c r="G35" s="100" t="s">
        <v>18</v>
      </c>
      <c r="H35" s="100" t="s">
        <v>30</v>
      </c>
      <c r="I35" s="72" t="s">
        <v>42</v>
      </c>
      <c r="J35" s="74" t="s">
        <v>43</v>
      </c>
      <c r="K35" s="76" t="s">
        <v>9</v>
      </c>
      <c r="L35" s="224" t="s">
        <v>19</v>
      </c>
      <c r="M35" s="226" t="s">
        <v>7</v>
      </c>
    </row>
    <row r="36" spans="1:13" ht="21.9" customHeight="1" x14ac:dyDescent="0.4">
      <c r="A36" s="61"/>
      <c r="B36" s="63"/>
      <c r="C36" s="63"/>
      <c r="D36" s="63"/>
      <c r="E36" s="99"/>
      <c r="F36" s="61"/>
      <c r="G36" s="101"/>
      <c r="H36" s="101"/>
      <c r="I36" s="73"/>
      <c r="J36" s="75"/>
      <c r="K36" s="77"/>
      <c r="L36" s="225"/>
      <c r="M36" s="227"/>
    </row>
    <row r="37" spans="1:13" ht="21.9" customHeight="1" x14ac:dyDescent="0.4">
      <c r="A37" s="46" t="s">
        <v>27</v>
      </c>
      <c r="B37" s="10"/>
      <c r="C37" s="1"/>
      <c r="D37" s="1"/>
      <c r="E37" s="11" t="s">
        <v>28</v>
      </c>
      <c r="F37" s="48" t="str">
        <f>A37</f>
        <v>Spurious</v>
      </c>
      <c r="G37" s="50" t="str">
        <f>IF(COUNT(B37:D37)=0, "H", IF(COUNT(B38:D38)=0, "V", IF(MAX(B37:D37) &gt;= MAX(B38:D38), "V", "H")))</f>
        <v>H</v>
      </c>
      <c r="H37" s="52">
        <f>MAX(B37:D38)</f>
        <v>0</v>
      </c>
      <c r="I37" s="54">
        <v>-47</v>
      </c>
      <c r="J37" s="64" t="str">
        <f>IF(OR(I37-H37&gt;10,I37-H37=-47),"No Peak Found",I37-H37)</f>
        <v>No Peak Found</v>
      </c>
      <c r="K37" s="66" t="s">
        <v>8</v>
      </c>
      <c r="L37" s="220" t="str">
        <f>IF(OR(COUNTIF(B37:D38, "-")+COUNTBLANK(B37:D38)=6), "Pass", IF(H37 &gt; I37, "Fail", IF(J37 &lt; 3, "Margin 부족", "Pass")))</f>
        <v>Pass</v>
      </c>
      <c r="M37" s="222" t="s">
        <v>11</v>
      </c>
    </row>
    <row r="38" spans="1:13" ht="21.9" customHeight="1" thickBot="1" x14ac:dyDescent="0.45">
      <c r="A38" s="47"/>
      <c r="B38" s="2"/>
      <c r="C38" s="2"/>
      <c r="D38" s="2"/>
      <c r="E38" s="12" t="s">
        <v>29</v>
      </c>
      <c r="F38" s="49"/>
      <c r="G38" s="51"/>
      <c r="H38" s="53"/>
      <c r="I38" s="55"/>
      <c r="J38" s="65"/>
      <c r="K38" s="67"/>
      <c r="L38" s="221"/>
      <c r="M38" s="223"/>
    </row>
    <row r="39" spans="1:13" ht="21.9" customHeight="1" x14ac:dyDescent="0.4"/>
  </sheetData>
  <mergeCells count="153">
    <mergeCell ref="B1:D1"/>
    <mergeCell ref="E1:F2"/>
    <mergeCell ref="G1:M1"/>
    <mergeCell ref="B2:D2"/>
    <mergeCell ref="G2:M2"/>
    <mergeCell ref="A3:M4"/>
    <mergeCell ref="H7:H8"/>
    <mergeCell ref="I7:M8"/>
    <mergeCell ref="A9:E10"/>
    <mergeCell ref="F9:M10"/>
    <mergeCell ref="A11:E11"/>
    <mergeCell ref="F11:M11"/>
    <mergeCell ref="G5:G6"/>
    <mergeCell ref="H5:H6"/>
    <mergeCell ref="I5:M6"/>
    <mergeCell ref="A7:A8"/>
    <mergeCell ref="B7:B8"/>
    <mergeCell ref="C7:C8"/>
    <mergeCell ref="D7:D8"/>
    <mergeCell ref="E7:E8"/>
    <mergeCell ref="F7:F8"/>
    <mergeCell ref="G7:G8"/>
    <mergeCell ref="A5:A6"/>
    <mergeCell ref="B5:B6"/>
    <mergeCell ref="C5:C6"/>
    <mergeCell ref="D5:D6"/>
    <mergeCell ref="E5:E6"/>
    <mergeCell ref="F5:F6"/>
    <mergeCell ref="M12:M13"/>
    <mergeCell ref="A14:A15"/>
    <mergeCell ref="F14:F15"/>
    <mergeCell ref="G14:G15"/>
    <mergeCell ref="H14:H15"/>
    <mergeCell ref="I14:I15"/>
    <mergeCell ref="J14:J15"/>
    <mergeCell ref="K14:K15"/>
    <mergeCell ref="L14:L15"/>
    <mergeCell ref="M14:M15"/>
    <mergeCell ref="G12:G13"/>
    <mergeCell ref="H12:H13"/>
    <mergeCell ref="I12:I13"/>
    <mergeCell ref="J12:J13"/>
    <mergeCell ref="K12:K13"/>
    <mergeCell ref="L12:L13"/>
    <mergeCell ref="A12:A13"/>
    <mergeCell ref="B12:B13"/>
    <mergeCell ref="C12:C13"/>
    <mergeCell ref="D12:D13"/>
    <mergeCell ref="E12:E13"/>
    <mergeCell ref="F12:F13"/>
    <mergeCell ref="A16:E16"/>
    <mergeCell ref="F16:M16"/>
    <mergeCell ref="A17:A18"/>
    <mergeCell ref="B17:B18"/>
    <mergeCell ref="C17:C18"/>
    <mergeCell ref="D17:D18"/>
    <mergeCell ref="E17:E18"/>
    <mergeCell ref="F17:F18"/>
    <mergeCell ref="G17:G18"/>
    <mergeCell ref="H17:H18"/>
    <mergeCell ref="I17:I18"/>
    <mergeCell ref="J17:J18"/>
    <mergeCell ref="K17:K18"/>
    <mergeCell ref="L17:L18"/>
    <mergeCell ref="M17:M18"/>
    <mergeCell ref="A19:A20"/>
    <mergeCell ref="F19:F20"/>
    <mergeCell ref="G19:G20"/>
    <mergeCell ref="H19:H20"/>
    <mergeCell ref="I19:I20"/>
    <mergeCell ref="J19:J20"/>
    <mergeCell ref="K19:K20"/>
    <mergeCell ref="L19:L20"/>
    <mergeCell ref="M19:M20"/>
    <mergeCell ref="A21:A22"/>
    <mergeCell ref="F21:F22"/>
    <mergeCell ref="G21:G22"/>
    <mergeCell ref="H21:H22"/>
    <mergeCell ref="I21:I22"/>
    <mergeCell ref="J21:J22"/>
    <mergeCell ref="K21:K22"/>
    <mergeCell ref="L21:L22"/>
    <mergeCell ref="M21:M22"/>
    <mergeCell ref="A23:A24"/>
    <mergeCell ref="F23:F24"/>
    <mergeCell ref="G23:G24"/>
    <mergeCell ref="H23:H24"/>
    <mergeCell ref="I23:I24"/>
    <mergeCell ref="J23:J24"/>
    <mergeCell ref="K23:K24"/>
    <mergeCell ref="M25:M26"/>
    <mergeCell ref="N25:P25"/>
    <mergeCell ref="N26:P26"/>
    <mergeCell ref="A27:E28"/>
    <mergeCell ref="F27:M28"/>
    <mergeCell ref="A29:E29"/>
    <mergeCell ref="F29:M29"/>
    <mergeCell ref="L23:L24"/>
    <mergeCell ref="M23:M24"/>
    <mergeCell ref="A25:A26"/>
    <mergeCell ref="F25:F26"/>
    <mergeCell ref="G25:G26"/>
    <mergeCell ref="H25:H26"/>
    <mergeCell ref="I25:I26"/>
    <mergeCell ref="J25:J26"/>
    <mergeCell ref="K25:K26"/>
    <mergeCell ref="L25:L26"/>
    <mergeCell ref="M30:M31"/>
    <mergeCell ref="A32:A33"/>
    <mergeCell ref="F32:F33"/>
    <mergeCell ref="G32:G33"/>
    <mergeCell ref="H32:H33"/>
    <mergeCell ref="I32:I33"/>
    <mergeCell ref="J32:J33"/>
    <mergeCell ref="K32:K33"/>
    <mergeCell ref="L32:L33"/>
    <mergeCell ref="M32:M33"/>
    <mergeCell ref="G30:G31"/>
    <mergeCell ref="H30:H31"/>
    <mergeCell ref="I30:I31"/>
    <mergeCell ref="J30:J31"/>
    <mergeCell ref="K30:K31"/>
    <mergeCell ref="L30:L31"/>
    <mergeCell ref="A30:A31"/>
    <mergeCell ref="B30:B31"/>
    <mergeCell ref="C30:C31"/>
    <mergeCell ref="D30:D31"/>
    <mergeCell ref="E30:E31"/>
    <mergeCell ref="F30:F31"/>
    <mergeCell ref="A37:A38"/>
    <mergeCell ref="F37:F38"/>
    <mergeCell ref="G37:G38"/>
    <mergeCell ref="H37:H38"/>
    <mergeCell ref="I37:I38"/>
    <mergeCell ref="A34:E34"/>
    <mergeCell ref="F34:M34"/>
    <mergeCell ref="A35:A36"/>
    <mergeCell ref="B35:B36"/>
    <mergeCell ref="C35:C36"/>
    <mergeCell ref="D35:D36"/>
    <mergeCell ref="E35:E36"/>
    <mergeCell ref="F35:F36"/>
    <mergeCell ref="G35:G36"/>
    <mergeCell ref="H35:H36"/>
    <mergeCell ref="J37:J38"/>
    <mergeCell ref="K37:K38"/>
    <mergeCell ref="L37:L38"/>
    <mergeCell ref="M37:M38"/>
    <mergeCell ref="I35:I36"/>
    <mergeCell ref="J35:J36"/>
    <mergeCell ref="K35:K36"/>
    <mergeCell ref="L35:L36"/>
    <mergeCell ref="M35:M36"/>
  </mergeCells>
  <phoneticPr fontId="1" type="noConversion"/>
  <conditionalFormatting sqref="J14">
    <cfRule type="cellIs" dxfId="150" priority="21" operator="lessThan">
      <formula>10</formula>
    </cfRule>
  </conditionalFormatting>
  <conditionalFormatting sqref="J14">
    <cfRule type="cellIs" dxfId="149" priority="20" operator="equal">
      <formula>-36</formula>
    </cfRule>
  </conditionalFormatting>
  <conditionalFormatting sqref="L14">
    <cfRule type="cellIs" dxfId="148" priority="19" operator="equal">
      <formula>"Fail"</formula>
    </cfRule>
  </conditionalFormatting>
  <conditionalFormatting sqref="L19">
    <cfRule type="cellIs" dxfId="147" priority="18" operator="equal">
      <formula>"Fail"</formula>
    </cfRule>
  </conditionalFormatting>
  <conditionalFormatting sqref="L21">
    <cfRule type="cellIs" dxfId="146" priority="17" operator="equal">
      <formula>"Fail"</formula>
    </cfRule>
  </conditionalFormatting>
  <conditionalFormatting sqref="L23">
    <cfRule type="cellIs" dxfId="145" priority="16" operator="equal">
      <formula>"Fail"</formula>
    </cfRule>
  </conditionalFormatting>
  <conditionalFormatting sqref="L25">
    <cfRule type="cellIs" dxfId="144" priority="15" operator="equal">
      <formula>"Fail"</formula>
    </cfRule>
  </conditionalFormatting>
  <conditionalFormatting sqref="V28">
    <cfRule type="cellIs" dxfId="143" priority="14" operator="equal">
      <formula>"Fail"</formula>
    </cfRule>
  </conditionalFormatting>
  <conditionalFormatting sqref="L14:L15 L19:L26">
    <cfRule type="cellIs" dxfId="142" priority="13" operator="equal">
      <formula>"Pass"</formula>
    </cfRule>
  </conditionalFormatting>
  <conditionalFormatting sqref="L32">
    <cfRule type="cellIs" dxfId="141" priority="12" operator="equal">
      <formula>"Fail"</formula>
    </cfRule>
  </conditionalFormatting>
  <conditionalFormatting sqref="L32:L33">
    <cfRule type="cellIs" dxfId="140" priority="11" operator="equal">
      <formula>"Pass"</formula>
    </cfRule>
  </conditionalFormatting>
  <conditionalFormatting sqref="L37">
    <cfRule type="cellIs" dxfId="139" priority="10" operator="equal">
      <formula>"Fail"</formula>
    </cfRule>
  </conditionalFormatting>
  <conditionalFormatting sqref="L37:L38">
    <cfRule type="cellIs" dxfId="138" priority="9" operator="equal">
      <formula>"Pass"</formula>
    </cfRule>
  </conditionalFormatting>
  <conditionalFormatting sqref="B14:D15">
    <cfRule type="top10" dxfId="137" priority="8" rank="1"/>
  </conditionalFormatting>
  <conditionalFormatting sqref="J19 J21 J23 J25">
    <cfRule type="expression" dxfId="136" priority="4">
      <formula>J19=-30</formula>
    </cfRule>
    <cfRule type="expression" dxfId="135" priority="6">
      <formula>AND(J19&lt;&gt;-30,J19&lt;=3)</formula>
    </cfRule>
    <cfRule type="expression" dxfId="134" priority="7">
      <formula>AND(J19&gt;3,J19&lt;10)</formula>
    </cfRule>
  </conditionalFormatting>
  <conditionalFormatting sqref="B19:D20">
    <cfRule type="top10" dxfId="133" priority="5" rank="1"/>
  </conditionalFormatting>
  <conditionalFormatting sqref="B21:D22">
    <cfRule type="top10" dxfId="132" priority="3" rank="1"/>
  </conditionalFormatting>
  <conditionalFormatting sqref="B23:D24">
    <cfRule type="top10" dxfId="131" priority="2" rank="1"/>
  </conditionalFormatting>
  <conditionalFormatting sqref="B25:D26">
    <cfRule type="top10" dxfId="130" priority="1" rank="1"/>
  </conditionalFormatting>
  <dataValidations count="1">
    <dataValidation type="list" allowBlank="1" showInputMessage="1" showErrorMessage="1" sqref="M14 M25 M19 M21 M23 M37:M38 M32:M33" xr:uid="{B34448D8-5DFA-4F36-BB1A-33A56C7702B9}">
      <formula1>"Fundamental, Harmonic, Noise Floor, -"</formula1>
    </dataValidation>
  </dataValidations>
  <pageMargins left="0.7" right="0.7" top="0.75" bottom="0.75" header="0.3" footer="0.3"/>
  <pageSetup paperSize="9" scale="27" orientation="portrait" r:id="rId1"/>
  <colBreaks count="1" manualBreakCount="1">
    <brk id="13" max="37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5EA28C-07AF-47C5-A26E-5620D62A5700}">
  <dimension ref="A1:P39"/>
  <sheetViews>
    <sheetView view="pageBreakPreview" zoomScale="85" zoomScaleNormal="100" zoomScaleSheetLayoutView="85" workbookViewId="0"/>
  </sheetViews>
  <sheetFormatPr defaultRowHeight="17.399999999999999" outlineLevelCol="1" x14ac:dyDescent="0.4"/>
  <cols>
    <col min="1" max="11" width="12.59765625" style="6" customWidth="1"/>
    <col min="12" max="13" width="12.59765625" hidden="1" customWidth="1" outlineLevel="1"/>
    <col min="14" max="14" width="12.59765625" customWidth="1" collapsed="1"/>
    <col min="15" max="22" width="12.59765625" customWidth="1"/>
  </cols>
  <sheetData>
    <row r="1" spans="1:13" ht="20.100000000000001" customHeight="1" x14ac:dyDescent="0.4">
      <c r="A1" s="5" t="s">
        <v>14</v>
      </c>
      <c r="B1" s="188"/>
      <c r="C1" s="189"/>
      <c r="D1" s="190"/>
      <c r="E1" s="191" t="s">
        <v>35</v>
      </c>
      <c r="F1" s="192"/>
      <c r="G1" s="188" t="s">
        <v>36</v>
      </c>
      <c r="H1" s="189"/>
      <c r="I1" s="189"/>
      <c r="J1" s="189"/>
      <c r="K1" s="189"/>
      <c r="L1" s="189"/>
      <c r="M1" s="190"/>
    </row>
    <row r="2" spans="1:13" ht="20.100000000000001" customHeight="1" thickBot="1" x14ac:dyDescent="0.45">
      <c r="A2" s="18" t="s">
        <v>47</v>
      </c>
      <c r="B2" s="195"/>
      <c r="C2" s="196"/>
      <c r="D2" s="197"/>
      <c r="E2" s="193"/>
      <c r="F2" s="194"/>
      <c r="G2" s="195" t="s">
        <v>45</v>
      </c>
      <c r="H2" s="196"/>
      <c r="I2" s="196"/>
      <c r="J2" s="196"/>
      <c r="K2" s="196"/>
      <c r="L2" s="196"/>
      <c r="M2" s="197"/>
    </row>
    <row r="3" spans="1:13" ht="24.9" customHeight="1" x14ac:dyDescent="0.4">
      <c r="A3" s="198" t="s">
        <v>48</v>
      </c>
      <c r="B3" s="199"/>
      <c r="C3" s="199"/>
      <c r="D3" s="199"/>
      <c r="E3" s="199"/>
      <c r="F3" s="199"/>
      <c r="G3" s="199"/>
      <c r="H3" s="199"/>
      <c r="I3" s="199"/>
      <c r="J3" s="199"/>
      <c r="K3" s="199"/>
      <c r="L3" s="199"/>
      <c r="M3" s="200"/>
    </row>
    <row r="4" spans="1:13" ht="24.9" customHeight="1" thickBot="1" x14ac:dyDescent="0.45">
      <c r="A4" s="201"/>
      <c r="B4" s="202"/>
      <c r="C4" s="202"/>
      <c r="D4" s="202"/>
      <c r="E4" s="202"/>
      <c r="F4" s="202"/>
      <c r="G4" s="202"/>
      <c r="H4" s="202"/>
      <c r="I4" s="202"/>
      <c r="J4" s="202"/>
      <c r="K4" s="202"/>
      <c r="L4" s="202"/>
      <c r="M4" s="203"/>
    </row>
    <row r="5" spans="1:13" ht="24.9" customHeight="1" x14ac:dyDescent="0.4">
      <c r="A5" s="186" t="s">
        <v>20</v>
      </c>
      <c r="B5" s="278" t="s">
        <v>23</v>
      </c>
      <c r="C5" s="274" t="s">
        <v>25</v>
      </c>
      <c r="D5" s="274" t="s">
        <v>21</v>
      </c>
      <c r="E5" s="274" t="s">
        <v>22</v>
      </c>
      <c r="F5" s="274" t="s">
        <v>26</v>
      </c>
      <c r="G5" s="272" t="s">
        <v>38</v>
      </c>
      <c r="H5" s="274" t="s">
        <v>37</v>
      </c>
      <c r="I5" s="281" t="s">
        <v>39</v>
      </c>
      <c r="J5" s="207"/>
      <c r="K5" s="207"/>
      <c r="L5" s="207"/>
      <c r="M5" s="282"/>
    </row>
    <row r="6" spans="1:13" ht="20.100000000000001" customHeight="1" x14ac:dyDescent="0.4">
      <c r="A6" s="187"/>
      <c r="B6" s="279"/>
      <c r="C6" s="275"/>
      <c r="D6" s="275"/>
      <c r="E6" s="275"/>
      <c r="F6" s="275"/>
      <c r="G6" s="273"/>
      <c r="H6" s="275"/>
      <c r="I6" s="283"/>
      <c r="J6" s="284"/>
      <c r="K6" s="284"/>
      <c r="L6" s="284"/>
      <c r="M6" s="285"/>
    </row>
    <row r="7" spans="1:13" ht="20.100000000000001" customHeight="1" x14ac:dyDescent="0.4">
      <c r="A7" s="204" t="s">
        <v>61</v>
      </c>
      <c r="B7" s="276"/>
      <c r="C7" s="264"/>
      <c r="D7" s="264"/>
      <c r="E7" s="263"/>
      <c r="F7" s="263"/>
      <c r="G7" s="263">
        <v>15</v>
      </c>
      <c r="H7" s="264"/>
      <c r="I7" s="292"/>
      <c r="J7" s="293"/>
      <c r="K7" s="293"/>
      <c r="L7" s="293"/>
      <c r="M7" s="294"/>
    </row>
    <row r="8" spans="1:13" ht="20.100000000000001" customHeight="1" thickBot="1" x14ac:dyDescent="0.45">
      <c r="A8" s="205"/>
      <c r="B8" s="277"/>
      <c r="C8" s="265"/>
      <c r="D8" s="265"/>
      <c r="E8" s="264"/>
      <c r="F8" s="264"/>
      <c r="G8" s="264"/>
      <c r="H8" s="265"/>
      <c r="I8" s="295"/>
      <c r="J8" s="296"/>
      <c r="K8" s="296"/>
      <c r="L8" s="296"/>
      <c r="M8" s="297"/>
    </row>
    <row r="9" spans="1:13" ht="24.9" customHeight="1" x14ac:dyDescent="0.4">
      <c r="A9" s="174" t="s">
        <v>12</v>
      </c>
      <c r="B9" s="175"/>
      <c r="C9" s="175"/>
      <c r="D9" s="175"/>
      <c r="E9" s="178"/>
      <c r="F9" s="271" t="s">
        <v>40</v>
      </c>
      <c r="G9" s="267"/>
      <c r="H9" s="267"/>
      <c r="I9" s="267"/>
      <c r="J9" s="267"/>
      <c r="K9" s="267"/>
      <c r="L9" s="267"/>
      <c r="M9" s="268"/>
    </row>
    <row r="10" spans="1:13" ht="24.9" customHeight="1" x14ac:dyDescent="0.4">
      <c r="A10" s="176"/>
      <c r="B10" s="177"/>
      <c r="C10" s="177"/>
      <c r="D10" s="177"/>
      <c r="E10" s="254"/>
      <c r="F10" s="177"/>
      <c r="G10" s="177"/>
      <c r="H10" s="177"/>
      <c r="I10" s="177"/>
      <c r="J10" s="177"/>
      <c r="K10" s="177"/>
      <c r="L10" s="177"/>
      <c r="M10" s="270"/>
    </row>
    <row r="11" spans="1:13" ht="21.9" customHeight="1" thickBot="1" x14ac:dyDescent="0.45">
      <c r="A11" s="255" t="s">
        <v>6</v>
      </c>
      <c r="B11" s="256"/>
      <c r="C11" s="256"/>
      <c r="D11" s="256"/>
      <c r="E11" s="257"/>
      <c r="F11" s="256" t="s">
        <v>6</v>
      </c>
      <c r="G11" s="256"/>
      <c r="H11" s="256"/>
      <c r="I11" s="256"/>
      <c r="J11" s="59"/>
      <c r="K11" s="256"/>
      <c r="L11" s="256"/>
      <c r="M11" s="258"/>
    </row>
    <row r="12" spans="1:13" ht="21.9" customHeight="1" thickTop="1" x14ac:dyDescent="0.4">
      <c r="A12" s="252" t="s">
        <v>44</v>
      </c>
      <c r="B12" s="62" t="s">
        <v>4</v>
      </c>
      <c r="C12" s="62" t="s">
        <v>16</v>
      </c>
      <c r="D12" s="62" t="s">
        <v>3</v>
      </c>
      <c r="E12" s="253" t="s">
        <v>2</v>
      </c>
      <c r="F12" s="146" t="s">
        <v>44</v>
      </c>
      <c r="G12" s="100" t="s">
        <v>18</v>
      </c>
      <c r="H12" s="100" t="s">
        <v>30</v>
      </c>
      <c r="I12" s="72" t="s">
        <v>42</v>
      </c>
      <c r="J12" s="74" t="s">
        <v>43</v>
      </c>
      <c r="K12" s="146" t="s">
        <v>9</v>
      </c>
      <c r="L12" s="224" t="s">
        <v>19</v>
      </c>
      <c r="M12" s="226" t="s">
        <v>7</v>
      </c>
    </row>
    <row r="13" spans="1:13" ht="21.9" customHeight="1" x14ac:dyDescent="0.4">
      <c r="A13" s="129"/>
      <c r="B13" s="63"/>
      <c r="C13" s="63"/>
      <c r="D13" s="63"/>
      <c r="E13" s="133"/>
      <c r="F13" s="147"/>
      <c r="G13" s="101"/>
      <c r="H13" s="101"/>
      <c r="I13" s="73"/>
      <c r="J13" s="75"/>
      <c r="K13" s="147"/>
      <c r="L13" s="225"/>
      <c r="M13" s="227"/>
    </row>
    <row r="14" spans="1:13" ht="21.9" customHeight="1" x14ac:dyDescent="0.4">
      <c r="A14" s="246" t="s">
        <v>27</v>
      </c>
      <c r="B14" s="3"/>
      <c r="C14" s="3"/>
      <c r="D14" s="3"/>
      <c r="E14" s="15" t="s">
        <v>28</v>
      </c>
      <c r="F14" s="248" t="str">
        <f>A14</f>
        <v>Spurious</v>
      </c>
      <c r="G14" s="42" t="str">
        <f>IF(COUNT(B14:D14)=0, "H", IF(COUNT(B15:D15)=0, "V", IF(MAX(B14:D14) &gt;= MAX(B15:D15), "V", "H")))</f>
        <v>H</v>
      </c>
      <c r="H14" s="44">
        <f>MAX(B14:D15)</f>
        <v>0</v>
      </c>
      <c r="I14" s="120">
        <v>-36</v>
      </c>
      <c r="J14" s="134" t="str">
        <f>IF(OR(I14-H14&gt;10,I14-H14=-36),"No Peak Found",I14-H14)</f>
        <v>No Peak Found</v>
      </c>
      <c r="K14" s="136" t="s">
        <v>8</v>
      </c>
      <c r="L14" s="220" t="str">
        <f>IF(OR(COUNTIF(B14:D15, "-")+COUNTBLANK(B14:D15)=6), "Pass", IF(H14 &gt; I14, "Fail", IF(J14 &lt; 3, "Margin 부족", "Pass")))</f>
        <v>Pass</v>
      </c>
      <c r="M14" s="250" t="s">
        <v>11</v>
      </c>
    </row>
    <row r="15" spans="1:13" ht="21.9" customHeight="1" thickBot="1" x14ac:dyDescent="0.45">
      <c r="A15" s="247"/>
      <c r="B15" s="16"/>
      <c r="C15" s="16"/>
      <c r="D15" s="16"/>
      <c r="E15" s="17" t="s">
        <v>29</v>
      </c>
      <c r="F15" s="249"/>
      <c r="G15" s="163"/>
      <c r="H15" s="164"/>
      <c r="I15" s="165"/>
      <c r="J15" s="135"/>
      <c r="K15" s="166"/>
      <c r="L15" s="221"/>
      <c r="M15" s="251"/>
    </row>
    <row r="16" spans="1:13" ht="21.9" customHeight="1" thickBot="1" x14ac:dyDescent="0.45">
      <c r="A16" s="240" t="s">
        <v>46</v>
      </c>
      <c r="B16" s="59"/>
      <c r="C16" s="59"/>
      <c r="D16" s="59"/>
      <c r="E16" s="59"/>
      <c r="F16" s="142" t="s">
        <v>46</v>
      </c>
      <c r="G16" s="143"/>
      <c r="H16" s="143"/>
      <c r="I16" s="143"/>
      <c r="J16" s="59"/>
      <c r="K16" s="143"/>
      <c r="L16" s="144"/>
      <c r="M16" s="145"/>
    </row>
    <row r="17" spans="1:16" ht="21.9" customHeight="1" thickTop="1" x14ac:dyDescent="0.4">
      <c r="A17" s="60" t="s">
        <v>44</v>
      </c>
      <c r="B17" s="62" t="s">
        <v>15</v>
      </c>
      <c r="C17" s="62" t="s">
        <v>16</v>
      </c>
      <c r="D17" s="62" t="s">
        <v>17</v>
      </c>
      <c r="E17" s="98" t="s">
        <v>18</v>
      </c>
      <c r="F17" s="241" t="s">
        <v>44</v>
      </c>
      <c r="G17" s="122" t="s">
        <v>18</v>
      </c>
      <c r="H17" s="122" t="s">
        <v>30</v>
      </c>
      <c r="I17" s="123" t="s">
        <v>42</v>
      </c>
      <c r="J17" s="74" t="s">
        <v>43</v>
      </c>
      <c r="K17" s="124" t="s">
        <v>9</v>
      </c>
      <c r="L17" s="242" t="s">
        <v>19</v>
      </c>
      <c r="M17" s="244" t="s">
        <v>7</v>
      </c>
    </row>
    <row r="18" spans="1:16" ht="21.75" customHeight="1" x14ac:dyDescent="0.4">
      <c r="A18" s="61"/>
      <c r="B18" s="131"/>
      <c r="C18" s="131"/>
      <c r="D18" s="131"/>
      <c r="E18" s="99"/>
      <c r="F18" s="147"/>
      <c r="G18" s="101"/>
      <c r="H18" s="101"/>
      <c r="I18" s="73"/>
      <c r="J18" s="75"/>
      <c r="K18" s="125"/>
      <c r="L18" s="243"/>
      <c r="M18" s="245"/>
    </row>
    <row r="19" spans="1:16" ht="21.9" customHeight="1" x14ac:dyDescent="0.4">
      <c r="A19" s="228">
        <f>I7*2</f>
        <v>0</v>
      </c>
      <c r="B19" s="4"/>
      <c r="C19" s="4"/>
      <c r="D19" s="4"/>
      <c r="E19" s="19" t="s">
        <v>1</v>
      </c>
      <c r="F19" s="237">
        <f>$A$19</f>
        <v>0</v>
      </c>
      <c r="G19" s="42" t="str">
        <f>IF(COUNT(B19:D19)=0, "H", IF(COUNT(B20:D20)=0, "V", IF(MAX(B19:D19) &gt;= MAX(B20:D20), "V", "H")))</f>
        <v>H</v>
      </c>
      <c r="H19" s="44">
        <f>MAX(B19:D20)</f>
        <v>0</v>
      </c>
      <c r="I19" s="120">
        <v>-30</v>
      </c>
      <c r="J19" s="111" t="str">
        <f>IF(OR(I19-H19&gt;10,I19-H19=-30),"No Peak Found",I19-H19)</f>
        <v>No Peak Found</v>
      </c>
      <c r="K19" s="121" t="s">
        <v>8</v>
      </c>
      <c r="L19" s="232" t="str">
        <f>IF(OR(COUNTIF(B19:D20, "-")+COUNTBLANK(B19:D20)=6), "Pass", IF(H19 &gt; I19, "Fail", IF(J19 &lt; 3, "Margin 부족", "Pass")))</f>
        <v>Pass</v>
      </c>
      <c r="M19" s="234" t="s">
        <v>10</v>
      </c>
    </row>
    <row r="20" spans="1:16" ht="21.9" customHeight="1" x14ac:dyDescent="0.4">
      <c r="A20" s="236"/>
      <c r="B20" s="4"/>
      <c r="C20" s="4"/>
      <c r="D20" s="4"/>
      <c r="E20" s="19" t="s">
        <v>0</v>
      </c>
      <c r="F20" s="237"/>
      <c r="G20" s="42"/>
      <c r="H20" s="44"/>
      <c r="I20" s="120"/>
      <c r="J20" s="112"/>
      <c r="K20" s="121"/>
      <c r="L20" s="238"/>
      <c r="M20" s="239"/>
    </row>
    <row r="21" spans="1:16" ht="21.9" customHeight="1" x14ac:dyDescent="0.4">
      <c r="A21" s="228">
        <f>I7*3</f>
        <v>0</v>
      </c>
      <c r="B21" s="4"/>
      <c r="C21" s="4"/>
      <c r="D21" s="4"/>
      <c r="E21" s="19" t="s">
        <v>1</v>
      </c>
      <c r="F21" s="230">
        <f>$A$21</f>
        <v>0</v>
      </c>
      <c r="G21" s="42" t="str">
        <f>IF(COUNT(B21:D21)=0, "H", IF(COUNT(B22:D22)=0, "V", IF(MAX(B21:D21) &gt;= MAX(B22:D22), "V", "H")))</f>
        <v>H</v>
      </c>
      <c r="H21" s="44">
        <f>MAX(B21:D22)</f>
        <v>0</v>
      </c>
      <c r="I21" s="110">
        <v>-30</v>
      </c>
      <c r="J21" s="111" t="str">
        <f t="shared" ref="J21" si="0">IF(OR(I21-H21&gt;10,I21-H21=-30),"No Peak Found",I21-H21)</f>
        <v>No Peak Found</v>
      </c>
      <c r="K21" s="104" t="s">
        <v>8</v>
      </c>
      <c r="L21" s="232" t="str">
        <f>IF(OR(COUNTIF(B21:D22, "-")+COUNTBLANK(B21:D22)=6), "Pass", IF(H21 &gt; I21, "Fail", IF(J21 &lt; 3, "Margin 부족", "Pass")))</f>
        <v>Pass</v>
      </c>
      <c r="M21" s="234" t="s">
        <v>10</v>
      </c>
    </row>
    <row r="22" spans="1:16" ht="21.9" customHeight="1" x14ac:dyDescent="0.4">
      <c r="A22" s="236"/>
      <c r="B22" s="4"/>
      <c r="C22" s="4"/>
      <c r="D22" s="4"/>
      <c r="E22" s="19" t="s">
        <v>0</v>
      </c>
      <c r="F22" s="230"/>
      <c r="G22" s="42"/>
      <c r="H22" s="44"/>
      <c r="I22" s="110"/>
      <c r="J22" s="112"/>
      <c r="K22" s="104"/>
      <c r="L22" s="238"/>
      <c r="M22" s="239"/>
    </row>
    <row r="23" spans="1:16" ht="21.9" customHeight="1" x14ac:dyDescent="0.4">
      <c r="A23" s="228">
        <f>I7*4</f>
        <v>0</v>
      </c>
      <c r="B23" s="4"/>
      <c r="C23" s="4"/>
      <c r="D23" s="4"/>
      <c r="E23" s="19" t="s">
        <v>1</v>
      </c>
      <c r="F23" s="237">
        <f>$A$23</f>
        <v>0</v>
      </c>
      <c r="G23" s="42" t="str">
        <f>IF(COUNT(B23:D23)=0, "H", IF(COUNT(B24:D24)=0, "V", IF(MAX(B23:D23) &gt;= MAX(B24:D24), "V", "H")))</f>
        <v>H</v>
      </c>
      <c r="H23" s="44">
        <f>MAX(B23:D24)</f>
        <v>0</v>
      </c>
      <c r="I23" s="110">
        <v>-30</v>
      </c>
      <c r="J23" s="111" t="str">
        <f t="shared" ref="J23" si="1">IF(OR(I23-H23&gt;10,I23-H23=-30),"No Peak Found",I23-H23)</f>
        <v>No Peak Found</v>
      </c>
      <c r="K23" s="113" t="s">
        <v>8</v>
      </c>
      <c r="L23" s="232" t="str">
        <f>IF(OR(COUNTIF(B23:D24, "-")+COUNTBLANK(B23:D24)=6), "Pass", IF(H23 &gt; I23, "Fail", IF(J23 &lt; 3, "Margin 부족", "Pass")))</f>
        <v>Pass</v>
      </c>
      <c r="M23" s="234" t="s">
        <v>10</v>
      </c>
    </row>
    <row r="24" spans="1:16" ht="21.9" customHeight="1" x14ac:dyDescent="0.4">
      <c r="A24" s="236"/>
      <c r="B24" s="4"/>
      <c r="C24" s="4"/>
      <c r="D24" s="4"/>
      <c r="E24" s="19" t="s">
        <v>0</v>
      </c>
      <c r="F24" s="237"/>
      <c r="G24" s="42"/>
      <c r="H24" s="44"/>
      <c r="I24" s="110"/>
      <c r="J24" s="112"/>
      <c r="K24" s="113"/>
      <c r="L24" s="238"/>
      <c r="M24" s="239"/>
      <c r="N24" s="8" t="s">
        <v>7</v>
      </c>
      <c r="O24" s="6"/>
      <c r="P24" s="6"/>
    </row>
    <row r="25" spans="1:16" ht="21.9" customHeight="1" x14ac:dyDescent="0.4">
      <c r="A25" s="228">
        <f>I7*5</f>
        <v>0</v>
      </c>
      <c r="B25" s="4"/>
      <c r="C25" s="4"/>
      <c r="D25" s="4"/>
      <c r="E25" s="19" t="s">
        <v>1</v>
      </c>
      <c r="F25" s="230">
        <f>$A$25</f>
        <v>0</v>
      </c>
      <c r="G25" s="42" t="str">
        <f>IF(COUNT(B25:D25)=0, "H", IF(COUNT(B26:D26)=0, "V", IF(MAX(B25:D25) &gt;= MAX(B26:D26), "V", "H")))</f>
        <v>H</v>
      </c>
      <c r="H25" s="44">
        <f>MAX(B25:D26)</f>
        <v>0</v>
      </c>
      <c r="I25" s="110">
        <v>-30</v>
      </c>
      <c r="J25" s="111" t="str">
        <f t="shared" ref="J25" si="2">IF(OR(I25-H25&gt;10,I25-H25=-30),"No Peak Found",I25-H25)</f>
        <v>No Peak Found</v>
      </c>
      <c r="K25" s="113" t="s">
        <v>8</v>
      </c>
      <c r="L25" s="232" t="str">
        <f>IF(OR(COUNTIF(B25:D26, "-")+COUNTBLANK(B25:D26)=6), "Pass", IF(H25 &gt; I25, "Fail", IF(J25 &lt; 3, "Margin 부족", "Pass")))</f>
        <v>Pass</v>
      </c>
      <c r="M25" s="234" t="s">
        <v>10</v>
      </c>
      <c r="N25" s="82" t="str">
        <f>"1. LTE Band : " &amp; VALUE(RIGHT(A7, LEN(A7)-1))</f>
        <v>1. LTE Band : 28</v>
      </c>
      <c r="O25" s="83"/>
      <c r="P25" s="83"/>
    </row>
    <row r="26" spans="1:16" ht="21.9" customHeight="1" thickBot="1" x14ac:dyDescent="0.45">
      <c r="A26" s="229"/>
      <c r="B26" s="4"/>
      <c r="C26" s="4"/>
      <c r="D26" s="4"/>
      <c r="E26" s="20" t="s">
        <v>29</v>
      </c>
      <c r="F26" s="231"/>
      <c r="G26" s="43"/>
      <c r="H26" s="45"/>
      <c r="I26" s="114"/>
      <c r="J26" s="115"/>
      <c r="K26" s="116"/>
      <c r="L26" s="233"/>
      <c r="M26" s="235"/>
      <c r="N26" s="84" t="str">
        <f>"2. The test was performed the " &amp; H7 &amp; " antenna."</f>
        <v>2. The test was performed the  antenna.</v>
      </c>
      <c r="O26" s="85"/>
      <c r="P26" s="85"/>
    </row>
    <row r="27" spans="1:16" ht="24.9" customHeight="1" x14ac:dyDescent="0.4">
      <c r="A27" s="86" t="s">
        <v>13</v>
      </c>
      <c r="B27" s="87"/>
      <c r="C27" s="87"/>
      <c r="D27" s="87"/>
      <c r="E27" s="88"/>
      <c r="F27" s="90" t="s">
        <v>41</v>
      </c>
      <c r="G27" s="90"/>
      <c r="H27" s="90"/>
      <c r="I27" s="90"/>
      <c r="J27" s="90"/>
      <c r="K27" s="90"/>
      <c r="L27" s="90"/>
      <c r="M27" s="91"/>
    </row>
    <row r="28" spans="1:16" ht="24.9" customHeight="1" x14ac:dyDescent="0.4">
      <c r="A28" s="89"/>
      <c r="B28" s="87"/>
      <c r="C28" s="87"/>
      <c r="D28" s="87"/>
      <c r="E28" s="88"/>
      <c r="F28" s="92"/>
      <c r="G28" s="92"/>
      <c r="H28" s="92"/>
      <c r="I28" s="92"/>
      <c r="J28" s="92"/>
      <c r="K28" s="92"/>
      <c r="L28" s="92"/>
      <c r="M28" s="93"/>
      <c r="N28" s="8"/>
      <c r="O28" s="6"/>
      <c r="P28" s="6"/>
    </row>
    <row r="29" spans="1:16" ht="21.9" customHeight="1" thickBot="1" x14ac:dyDescent="0.45">
      <c r="A29" s="94" t="s">
        <v>5</v>
      </c>
      <c r="B29" s="95"/>
      <c r="C29" s="95"/>
      <c r="D29" s="95"/>
      <c r="E29" s="96"/>
      <c r="F29" s="97" t="s">
        <v>5</v>
      </c>
      <c r="G29" s="97"/>
      <c r="H29" s="97"/>
      <c r="I29" s="97"/>
      <c r="J29" s="97"/>
      <c r="K29" s="97"/>
      <c r="L29" s="97"/>
      <c r="M29" s="97"/>
    </row>
    <row r="30" spans="1:16" ht="21.9" customHeight="1" thickTop="1" x14ac:dyDescent="0.4">
      <c r="A30" s="60" t="s">
        <v>44</v>
      </c>
      <c r="B30" s="62" t="s">
        <v>15</v>
      </c>
      <c r="C30" s="62" t="s">
        <v>16</v>
      </c>
      <c r="D30" s="62" t="s">
        <v>17</v>
      </c>
      <c r="E30" s="98" t="s">
        <v>18</v>
      </c>
      <c r="F30" s="60" t="s">
        <v>44</v>
      </c>
      <c r="G30" s="100" t="s">
        <v>18</v>
      </c>
      <c r="H30" s="100" t="s">
        <v>30</v>
      </c>
      <c r="I30" s="72" t="s">
        <v>42</v>
      </c>
      <c r="J30" s="74" t="s">
        <v>43</v>
      </c>
      <c r="K30" s="76" t="s">
        <v>9</v>
      </c>
      <c r="L30" s="224" t="s">
        <v>19</v>
      </c>
      <c r="M30" s="226" t="s">
        <v>7</v>
      </c>
    </row>
    <row r="31" spans="1:16" ht="21.9" customHeight="1" x14ac:dyDescent="0.4">
      <c r="A31" s="61"/>
      <c r="B31" s="63"/>
      <c r="C31" s="63"/>
      <c r="D31" s="63"/>
      <c r="E31" s="99"/>
      <c r="F31" s="61"/>
      <c r="G31" s="101"/>
      <c r="H31" s="101"/>
      <c r="I31" s="73"/>
      <c r="J31" s="75"/>
      <c r="K31" s="77"/>
      <c r="L31" s="225"/>
      <c r="M31" s="227"/>
    </row>
    <row r="32" spans="1:16" ht="21.9" customHeight="1" x14ac:dyDescent="0.4">
      <c r="A32" s="46" t="s">
        <v>27</v>
      </c>
      <c r="B32" s="10"/>
      <c r="C32" s="1"/>
      <c r="D32" s="1"/>
      <c r="E32" s="11" t="s">
        <v>28</v>
      </c>
      <c r="F32" s="48" t="str">
        <f>A32</f>
        <v>Spurious</v>
      </c>
      <c r="G32" s="50" t="str">
        <f>IF(COUNT(B32:D32)=0, "H", IF(COUNT(B33:D33)=0, "V", IF(MAX(B32:D32) &gt;= MAX(B33:D33), "V", "H")))</f>
        <v>H</v>
      </c>
      <c r="H32" s="52">
        <f>MAX(B32:D33)</f>
        <v>0</v>
      </c>
      <c r="I32" s="54">
        <v>-57</v>
      </c>
      <c r="J32" s="64" t="str">
        <f>IF(OR(I32-H32&gt;10,I32-H32=-57),"No Peak Found",I32-H32)</f>
        <v>No Peak Found</v>
      </c>
      <c r="K32" s="66" t="s">
        <v>8</v>
      </c>
      <c r="L32" s="220" t="str">
        <f>IF(OR(COUNTIF(B32:D33, "-")+COUNTBLANK(B32:D33)=6), "Pass", IF(H32 &gt; I32, "Fail", IF(J32 &lt; 3, "Margin 부족", "Pass")))</f>
        <v>Pass</v>
      </c>
      <c r="M32" s="222" t="s">
        <v>11</v>
      </c>
    </row>
    <row r="33" spans="1:13" ht="21.9" customHeight="1" thickBot="1" x14ac:dyDescent="0.45">
      <c r="A33" s="47"/>
      <c r="B33" s="2"/>
      <c r="C33" s="2"/>
      <c r="D33" s="2"/>
      <c r="E33" s="12" t="s">
        <v>29</v>
      </c>
      <c r="F33" s="49"/>
      <c r="G33" s="51"/>
      <c r="H33" s="53"/>
      <c r="I33" s="55"/>
      <c r="J33" s="65"/>
      <c r="K33" s="67"/>
      <c r="L33" s="221"/>
      <c r="M33" s="223"/>
    </row>
    <row r="34" spans="1:13" ht="21.9" customHeight="1" thickBot="1" x14ac:dyDescent="0.45">
      <c r="A34" s="56" t="s">
        <v>34</v>
      </c>
      <c r="B34" s="57"/>
      <c r="C34" s="57"/>
      <c r="D34" s="57"/>
      <c r="E34" s="58"/>
      <c r="F34" s="59" t="s">
        <v>34</v>
      </c>
      <c r="G34" s="59"/>
      <c r="H34" s="59"/>
      <c r="I34" s="59"/>
      <c r="J34" s="59"/>
      <c r="K34" s="59"/>
      <c r="L34" s="59"/>
      <c r="M34" s="59"/>
    </row>
    <row r="35" spans="1:13" ht="21.9" customHeight="1" thickTop="1" x14ac:dyDescent="0.4">
      <c r="A35" s="60" t="s">
        <v>44</v>
      </c>
      <c r="B35" s="62" t="s">
        <v>15</v>
      </c>
      <c r="C35" s="62" t="s">
        <v>16</v>
      </c>
      <c r="D35" s="62" t="s">
        <v>17</v>
      </c>
      <c r="E35" s="98" t="s">
        <v>18</v>
      </c>
      <c r="F35" s="60" t="s">
        <v>44</v>
      </c>
      <c r="G35" s="100" t="s">
        <v>18</v>
      </c>
      <c r="H35" s="100" t="s">
        <v>30</v>
      </c>
      <c r="I35" s="72" t="s">
        <v>42</v>
      </c>
      <c r="J35" s="74" t="s">
        <v>43</v>
      </c>
      <c r="K35" s="76" t="s">
        <v>9</v>
      </c>
      <c r="L35" s="224" t="s">
        <v>19</v>
      </c>
      <c r="M35" s="226" t="s">
        <v>7</v>
      </c>
    </row>
    <row r="36" spans="1:13" ht="21.9" customHeight="1" x14ac:dyDescent="0.4">
      <c r="A36" s="61"/>
      <c r="B36" s="63"/>
      <c r="C36" s="63"/>
      <c r="D36" s="63"/>
      <c r="E36" s="99"/>
      <c r="F36" s="61"/>
      <c r="G36" s="101"/>
      <c r="H36" s="101"/>
      <c r="I36" s="73"/>
      <c r="J36" s="75"/>
      <c r="K36" s="77"/>
      <c r="L36" s="225"/>
      <c r="M36" s="227"/>
    </row>
    <row r="37" spans="1:13" ht="21.9" customHeight="1" x14ac:dyDescent="0.4">
      <c r="A37" s="46" t="s">
        <v>27</v>
      </c>
      <c r="B37" s="10"/>
      <c r="C37" s="1"/>
      <c r="D37" s="1"/>
      <c r="E37" s="11" t="s">
        <v>28</v>
      </c>
      <c r="F37" s="48" t="str">
        <f>A37</f>
        <v>Spurious</v>
      </c>
      <c r="G37" s="50" t="str">
        <f>IF(COUNT(B37:D37)=0, "H", IF(COUNT(B38:D38)=0, "V", IF(MAX(B37:D37) &gt;= MAX(B38:D38), "V", "H")))</f>
        <v>H</v>
      </c>
      <c r="H37" s="52">
        <f>MAX(B37:D38)</f>
        <v>0</v>
      </c>
      <c r="I37" s="54">
        <v>-47</v>
      </c>
      <c r="J37" s="64" t="str">
        <f>IF(OR(I37-H37&gt;10,I37-H37=-47),"No Peak Found",I37-H37)</f>
        <v>No Peak Found</v>
      </c>
      <c r="K37" s="66" t="s">
        <v>8</v>
      </c>
      <c r="L37" s="220" t="str">
        <f>IF(OR(COUNTIF(B37:D38, "-")+COUNTBLANK(B37:D38)=6), "Pass", IF(H37 &gt; I37, "Fail", IF(J37 &lt; 3, "Margin 부족", "Pass")))</f>
        <v>Pass</v>
      </c>
      <c r="M37" s="222" t="s">
        <v>11</v>
      </c>
    </row>
    <row r="38" spans="1:13" ht="21.9" customHeight="1" thickBot="1" x14ac:dyDescent="0.45">
      <c r="A38" s="47"/>
      <c r="B38" s="2"/>
      <c r="C38" s="2"/>
      <c r="D38" s="2"/>
      <c r="E38" s="12" t="s">
        <v>29</v>
      </c>
      <c r="F38" s="49"/>
      <c r="G38" s="51"/>
      <c r="H38" s="53"/>
      <c r="I38" s="55"/>
      <c r="J38" s="65"/>
      <c r="K38" s="67"/>
      <c r="L38" s="221"/>
      <c r="M38" s="223"/>
    </row>
    <row r="39" spans="1:13" ht="21.9" customHeight="1" x14ac:dyDescent="0.4"/>
  </sheetData>
  <mergeCells count="153">
    <mergeCell ref="B1:D1"/>
    <mergeCell ref="E1:F2"/>
    <mergeCell ref="G1:M1"/>
    <mergeCell ref="B2:D2"/>
    <mergeCell ref="G2:M2"/>
    <mergeCell ref="A3:M4"/>
    <mergeCell ref="H7:H8"/>
    <mergeCell ref="I7:M8"/>
    <mergeCell ref="A9:E10"/>
    <mergeCell ref="F9:M10"/>
    <mergeCell ref="A11:E11"/>
    <mergeCell ref="F11:M11"/>
    <mergeCell ref="G5:G6"/>
    <mergeCell ref="H5:H6"/>
    <mergeCell ref="I5:M6"/>
    <mergeCell ref="A7:A8"/>
    <mergeCell ref="B7:B8"/>
    <mergeCell ref="C7:C8"/>
    <mergeCell ref="D7:D8"/>
    <mergeCell ref="E7:E8"/>
    <mergeCell ref="F7:F8"/>
    <mergeCell ref="G7:G8"/>
    <mergeCell ref="A5:A6"/>
    <mergeCell ref="B5:B6"/>
    <mergeCell ref="C5:C6"/>
    <mergeCell ref="D5:D6"/>
    <mergeCell ref="E5:E6"/>
    <mergeCell ref="F5:F6"/>
    <mergeCell ref="M12:M13"/>
    <mergeCell ref="A14:A15"/>
    <mergeCell ref="F14:F15"/>
    <mergeCell ref="G14:G15"/>
    <mergeCell ref="H14:H15"/>
    <mergeCell ref="I14:I15"/>
    <mergeCell ref="J14:J15"/>
    <mergeCell ref="K14:K15"/>
    <mergeCell ref="L14:L15"/>
    <mergeCell ref="M14:M15"/>
    <mergeCell ref="G12:G13"/>
    <mergeCell ref="H12:H13"/>
    <mergeCell ref="I12:I13"/>
    <mergeCell ref="J12:J13"/>
    <mergeCell ref="K12:K13"/>
    <mergeCell ref="L12:L13"/>
    <mergeCell ref="A12:A13"/>
    <mergeCell ref="B12:B13"/>
    <mergeCell ref="C12:C13"/>
    <mergeCell ref="D12:D13"/>
    <mergeCell ref="E12:E13"/>
    <mergeCell ref="F12:F13"/>
    <mergeCell ref="A16:E16"/>
    <mergeCell ref="F16:M16"/>
    <mergeCell ref="A17:A18"/>
    <mergeCell ref="B17:B18"/>
    <mergeCell ref="C17:C18"/>
    <mergeCell ref="D17:D18"/>
    <mergeCell ref="E17:E18"/>
    <mergeCell ref="F17:F18"/>
    <mergeCell ref="G17:G18"/>
    <mergeCell ref="H17:H18"/>
    <mergeCell ref="I17:I18"/>
    <mergeCell ref="J17:J18"/>
    <mergeCell ref="K17:K18"/>
    <mergeCell ref="L17:L18"/>
    <mergeCell ref="M17:M18"/>
    <mergeCell ref="A19:A20"/>
    <mergeCell ref="F19:F20"/>
    <mergeCell ref="G19:G20"/>
    <mergeCell ref="H19:H20"/>
    <mergeCell ref="I19:I20"/>
    <mergeCell ref="J19:J20"/>
    <mergeCell ref="K19:K20"/>
    <mergeCell ref="L19:L20"/>
    <mergeCell ref="M19:M20"/>
    <mergeCell ref="A21:A22"/>
    <mergeCell ref="F21:F22"/>
    <mergeCell ref="G21:G22"/>
    <mergeCell ref="H21:H22"/>
    <mergeCell ref="I21:I22"/>
    <mergeCell ref="J21:J22"/>
    <mergeCell ref="K21:K22"/>
    <mergeCell ref="L21:L22"/>
    <mergeCell ref="M21:M22"/>
    <mergeCell ref="A23:A24"/>
    <mergeCell ref="F23:F24"/>
    <mergeCell ref="G23:G24"/>
    <mergeCell ref="H23:H24"/>
    <mergeCell ref="I23:I24"/>
    <mergeCell ref="J23:J24"/>
    <mergeCell ref="K23:K24"/>
    <mergeCell ref="M25:M26"/>
    <mergeCell ref="N25:P25"/>
    <mergeCell ref="N26:P26"/>
    <mergeCell ref="A27:E28"/>
    <mergeCell ref="F27:M28"/>
    <mergeCell ref="A29:E29"/>
    <mergeCell ref="F29:M29"/>
    <mergeCell ref="L23:L24"/>
    <mergeCell ref="M23:M24"/>
    <mergeCell ref="A25:A26"/>
    <mergeCell ref="F25:F26"/>
    <mergeCell ref="G25:G26"/>
    <mergeCell ref="H25:H26"/>
    <mergeCell ref="I25:I26"/>
    <mergeCell ref="J25:J26"/>
    <mergeCell ref="K25:K26"/>
    <mergeCell ref="L25:L26"/>
    <mergeCell ref="M30:M31"/>
    <mergeCell ref="A32:A33"/>
    <mergeCell ref="F32:F33"/>
    <mergeCell ref="G32:G33"/>
    <mergeCell ref="H32:H33"/>
    <mergeCell ref="I32:I33"/>
    <mergeCell ref="J32:J33"/>
    <mergeCell ref="K32:K33"/>
    <mergeCell ref="L32:L33"/>
    <mergeCell ref="M32:M33"/>
    <mergeCell ref="G30:G31"/>
    <mergeCell ref="H30:H31"/>
    <mergeCell ref="I30:I31"/>
    <mergeCell ref="J30:J31"/>
    <mergeCell ref="K30:K31"/>
    <mergeCell ref="L30:L31"/>
    <mergeCell ref="A30:A31"/>
    <mergeCell ref="B30:B31"/>
    <mergeCell ref="C30:C31"/>
    <mergeCell ref="D30:D31"/>
    <mergeCell ref="E30:E31"/>
    <mergeCell ref="F30:F31"/>
    <mergeCell ref="A37:A38"/>
    <mergeCell ref="F37:F38"/>
    <mergeCell ref="G37:G38"/>
    <mergeCell ref="H37:H38"/>
    <mergeCell ref="I37:I38"/>
    <mergeCell ref="A34:E34"/>
    <mergeCell ref="F34:M34"/>
    <mergeCell ref="A35:A36"/>
    <mergeCell ref="B35:B36"/>
    <mergeCell ref="C35:C36"/>
    <mergeCell ref="D35:D36"/>
    <mergeCell ref="E35:E36"/>
    <mergeCell ref="F35:F36"/>
    <mergeCell ref="G35:G36"/>
    <mergeCell ref="H35:H36"/>
    <mergeCell ref="J37:J38"/>
    <mergeCell ref="K37:K38"/>
    <mergeCell ref="L37:L38"/>
    <mergeCell ref="M37:M38"/>
    <mergeCell ref="I35:I36"/>
    <mergeCell ref="J35:J36"/>
    <mergeCell ref="K35:K36"/>
    <mergeCell ref="L35:L36"/>
    <mergeCell ref="M35:M36"/>
  </mergeCells>
  <phoneticPr fontId="1" type="noConversion"/>
  <conditionalFormatting sqref="J14">
    <cfRule type="cellIs" dxfId="129" priority="21" operator="lessThan">
      <formula>10</formula>
    </cfRule>
  </conditionalFormatting>
  <conditionalFormatting sqref="J14">
    <cfRule type="cellIs" dxfId="128" priority="20" operator="equal">
      <formula>-36</formula>
    </cfRule>
  </conditionalFormatting>
  <conditionalFormatting sqref="L14">
    <cfRule type="cellIs" dxfId="127" priority="19" operator="equal">
      <formula>"Fail"</formula>
    </cfRule>
  </conditionalFormatting>
  <conditionalFormatting sqref="L19">
    <cfRule type="cellIs" dxfId="126" priority="18" operator="equal">
      <formula>"Fail"</formula>
    </cfRule>
  </conditionalFormatting>
  <conditionalFormatting sqref="L21">
    <cfRule type="cellIs" dxfId="125" priority="17" operator="equal">
      <formula>"Fail"</formula>
    </cfRule>
  </conditionalFormatting>
  <conditionalFormatting sqref="L23">
    <cfRule type="cellIs" dxfId="124" priority="16" operator="equal">
      <formula>"Fail"</formula>
    </cfRule>
  </conditionalFormatting>
  <conditionalFormatting sqref="L25">
    <cfRule type="cellIs" dxfId="123" priority="15" operator="equal">
      <formula>"Fail"</formula>
    </cfRule>
  </conditionalFormatting>
  <conditionalFormatting sqref="V28">
    <cfRule type="cellIs" dxfId="122" priority="14" operator="equal">
      <formula>"Fail"</formula>
    </cfRule>
  </conditionalFormatting>
  <conditionalFormatting sqref="L14:L15 L19:L26">
    <cfRule type="cellIs" dxfId="121" priority="13" operator="equal">
      <formula>"Pass"</formula>
    </cfRule>
  </conditionalFormatting>
  <conditionalFormatting sqref="L32">
    <cfRule type="cellIs" dxfId="120" priority="12" operator="equal">
      <formula>"Fail"</formula>
    </cfRule>
  </conditionalFormatting>
  <conditionalFormatting sqref="L32:L33">
    <cfRule type="cellIs" dxfId="119" priority="11" operator="equal">
      <formula>"Pass"</formula>
    </cfRule>
  </conditionalFormatting>
  <conditionalFormatting sqref="L37">
    <cfRule type="cellIs" dxfId="118" priority="10" operator="equal">
      <formula>"Fail"</formula>
    </cfRule>
  </conditionalFormatting>
  <conditionalFormatting sqref="L37:L38">
    <cfRule type="cellIs" dxfId="117" priority="9" operator="equal">
      <formula>"Pass"</formula>
    </cfRule>
  </conditionalFormatting>
  <conditionalFormatting sqref="B14:D15">
    <cfRule type="top10" dxfId="116" priority="8" rank="1"/>
  </conditionalFormatting>
  <conditionalFormatting sqref="J19 J21 J23 J25">
    <cfRule type="expression" dxfId="115" priority="4">
      <formula>J19=-30</formula>
    </cfRule>
    <cfRule type="expression" dxfId="114" priority="6">
      <formula>AND(J19&lt;&gt;-30,J19&lt;=3)</formula>
    </cfRule>
    <cfRule type="expression" dxfId="113" priority="7">
      <formula>AND(J19&gt;3,J19&lt;10)</formula>
    </cfRule>
  </conditionalFormatting>
  <conditionalFormatting sqref="B19:D20">
    <cfRule type="top10" dxfId="112" priority="5" rank="1"/>
  </conditionalFormatting>
  <conditionalFormatting sqref="B21:D22">
    <cfRule type="top10" dxfId="111" priority="3" rank="1"/>
  </conditionalFormatting>
  <conditionalFormatting sqref="B23:D24">
    <cfRule type="top10" dxfId="110" priority="2" rank="1"/>
  </conditionalFormatting>
  <conditionalFormatting sqref="B25:D26">
    <cfRule type="top10" dxfId="109" priority="1" rank="1"/>
  </conditionalFormatting>
  <dataValidations count="1">
    <dataValidation type="list" allowBlank="1" showInputMessage="1" showErrorMessage="1" sqref="M14 M25 M19 M21 M23 M37:M38 M32:M33" xr:uid="{ED160C7A-0B56-40F8-98CE-76235E16DC84}">
      <formula1>"Fundamental, Harmonic, Noise Floor, -"</formula1>
    </dataValidation>
  </dataValidations>
  <pageMargins left="0.7" right="0.7" top="0.75" bottom="0.75" header="0.3" footer="0.3"/>
  <pageSetup paperSize="9" scale="27" orientation="portrait" r:id="rId1"/>
  <colBreaks count="1" manualBreakCount="1">
    <brk id="13" max="37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705F90-6B4C-4AD6-9304-DD98C891843B}">
  <dimension ref="A1:P44"/>
  <sheetViews>
    <sheetView view="pageBreakPreview" zoomScale="85" zoomScaleNormal="100" zoomScaleSheetLayoutView="85" workbookViewId="0"/>
  </sheetViews>
  <sheetFormatPr defaultRowHeight="17.399999999999999" outlineLevelCol="1" x14ac:dyDescent="0.4"/>
  <cols>
    <col min="1" max="11" width="12.59765625" style="6" customWidth="1"/>
    <col min="12" max="13" width="12.59765625" style="6" hidden="1" customWidth="1" outlineLevel="1"/>
    <col min="14" max="14" width="12.59765625" style="6" customWidth="1" collapsed="1"/>
    <col min="15" max="16" width="12.59765625" style="6" customWidth="1"/>
    <col min="17" max="22" width="12.59765625" customWidth="1"/>
  </cols>
  <sheetData>
    <row r="1" spans="1:13" ht="20.100000000000001" customHeight="1" x14ac:dyDescent="0.4">
      <c r="A1" s="5" t="s">
        <v>14</v>
      </c>
      <c r="B1" s="188"/>
      <c r="C1" s="189"/>
      <c r="D1" s="190"/>
      <c r="E1" s="191" t="s">
        <v>35</v>
      </c>
      <c r="F1" s="192"/>
      <c r="G1" s="188" t="s">
        <v>36</v>
      </c>
      <c r="H1" s="189"/>
      <c r="I1" s="189"/>
      <c r="J1" s="189"/>
      <c r="K1" s="189"/>
      <c r="L1" s="189"/>
      <c r="M1" s="190"/>
    </row>
    <row r="2" spans="1:13" ht="20.100000000000001" customHeight="1" thickBot="1" x14ac:dyDescent="0.45">
      <c r="A2" s="18" t="s">
        <v>47</v>
      </c>
      <c r="B2" s="195"/>
      <c r="C2" s="196"/>
      <c r="D2" s="197"/>
      <c r="E2" s="193"/>
      <c r="F2" s="194"/>
      <c r="G2" s="195" t="s">
        <v>45</v>
      </c>
      <c r="H2" s="196"/>
      <c r="I2" s="196"/>
      <c r="J2" s="196"/>
      <c r="K2" s="196"/>
      <c r="L2" s="196"/>
      <c r="M2" s="197"/>
    </row>
    <row r="3" spans="1:13" ht="24.9" customHeight="1" x14ac:dyDescent="0.4">
      <c r="A3" s="198" t="s">
        <v>48</v>
      </c>
      <c r="B3" s="199"/>
      <c r="C3" s="199"/>
      <c r="D3" s="199"/>
      <c r="E3" s="199"/>
      <c r="F3" s="199"/>
      <c r="G3" s="199"/>
      <c r="H3" s="199"/>
      <c r="I3" s="199"/>
      <c r="J3" s="199"/>
      <c r="K3" s="199"/>
      <c r="L3" s="199"/>
      <c r="M3" s="200"/>
    </row>
    <row r="4" spans="1:13" ht="24.9" customHeight="1" thickBot="1" x14ac:dyDescent="0.45">
      <c r="A4" s="201"/>
      <c r="B4" s="202"/>
      <c r="C4" s="202"/>
      <c r="D4" s="202"/>
      <c r="E4" s="202"/>
      <c r="F4" s="202"/>
      <c r="G4" s="202"/>
      <c r="H4" s="202"/>
      <c r="I4" s="202"/>
      <c r="J4" s="202"/>
      <c r="K4" s="202"/>
      <c r="L4" s="202"/>
      <c r="M4" s="203"/>
    </row>
    <row r="5" spans="1:13" ht="24.9" customHeight="1" x14ac:dyDescent="0.4">
      <c r="A5" s="186" t="s">
        <v>20</v>
      </c>
      <c r="B5" s="278" t="s">
        <v>23</v>
      </c>
      <c r="C5" s="274" t="s">
        <v>25</v>
      </c>
      <c r="D5" s="274" t="s">
        <v>21</v>
      </c>
      <c r="E5" s="274" t="s">
        <v>22</v>
      </c>
      <c r="F5" s="274" t="s">
        <v>26</v>
      </c>
      <c r="G5" s="272" t="s">
        <v>38</v>
      </c>
      <c r="H5" s="274" t="s">
        <v>37</v>
      </c>
      <c r="I5" s="281" t="s">
        <v>39</v>
      </c>
      <c r="J5" s="207"/>
      <c r="K5" s="207"/>
      <c r="L5" s="207"/>
      <c r="M5" s="282"/>
    </row>
    <row r="6" spans="1:13" ht="20.100000000000001" customHeight="1" x14ac:dyDescent="0.4">
      <c r="A6" s="187"/>
      <c r="B6" s="279"/>
      <c r="C6" s="275"/>
      <c r="D6" s="275"/>
      <c r="E6" s="275"/>
      <c r="F6" s="275"/>
      <c r="G6" s="273"/>
      <c r="H6" s="275"/>
      <c r="I6" s="283"/>
      <c r="J6" s="284"/>
      <c r="K6" s="284"/>
      <c r="L6" s="284"/>
      <c r="M6" s="285"/>
    </row>
    <row r="7" spans="1:13" ht="20.100000000000001" customHeight="1" x14ac:dyDescent="0.4">
      <c r="A7" s="204" t="s">
        <v>62</v>
      </c>
      <c r="B7" s="276"/>
      <c r="C7" s="264"/>
      <c r="D7" s="264"/>
      <c r="E7" s="263"/>
      <c r="F7" s="263"/>
      <c r="G7" s="263">
        <v>15</v>
      </c>
      <c r="H7" s="264"/>
      <c r="I7" s="286"/>
      <c r="J7" s="287"/>
      <c r="K7" s="287"/>
      <c r="L7" s="287"/>
      <c r="M7" s="288"/>
    </row>
    <row r="8" spans="1:13" ht="20.100000000000001" customHeight="1" thickBot="1" x14ac:dyDescent="0.45">
      <c r="A8" s="205"/>
      <c r="B8" s="277"/>
      <c r="C8" s="265"/>
      <c r="D8" s="265"/>
      <c r="E8" s="264"/>
      <c r="F8" s="264"/>
      <c r="G8" s="264"/>
      <c r="H8" s="265"/>
      <c r="I8" s="289"/>
      <c r="J8" s="290"/>
      <c r="K8" s="290"/>
      <c r="L8" s="290"/>
      <c r="M8" s="291"/>
    </row>
    <row r="9" spans="1:13" ht="24.9" customHeight="1" x14ac:dyDescent="0.4">
      <c r="A9" s="266" t="s">
        <v>12</v>
      </c>
      <c r="B9" s="267"/>
      <c r="C9" s="267"/>
      <c r="D9" s="267"/>
      <c r="E9" s="268"/>
      <c r="F9" s="271" t="s">
        <v>40</v>
      </c>
      <c r="G9" s="267"/>
      <c r="H9" s="267"/>
      <c r="I9" s="267"/>
      <c r="J9" s="267"/>
      <c r="K9" s="267"/>
      <c r="L9" s="267"/>
      <c r="M9" s="268"/>
    </row>
    <row r="10" spans="1:13" ht="24.9" customHeight="1" x14ac:dyDescent="0.4">
      <c r="A10" s="269"/>
      <c r="B10" s="177"/>
      <c r="C10" s="177"/>
      <c r="D10" s="177"/>
      <c r="E10" s="270"/>
      <c r="F10" s="177"/>
      <c r="G10" s="177"/>
      <c r="H10" s="177"/>
      <c r="I10" s="177"/>
      <c r="J10" s="177"/>
      <c r="K10" s="177"/>
      <c r="L10" s="177"/>
      <c r="M10" s="270"/>
    </row>
    <row r="11" spans="1:13" ht="21.9" customHeight="1" thickBot="1" x14ac:dyDescent="0.45">
      <c r="A11" s="280" t="s">
        <v>6</v>
      </c>
      <c r="B11" s="256"/>
      <c r="C11" s="256"/>
      <c r="D11" s="256"/>
      <c r="E11" s="258"/>
      <c r="F11" s="256" t="str">
        <f>A11</f>
        <v>30M-1G</v>
      </c>
      <c r="G11" s="256"/>
      <c r="H11" s="256"/>
      <c r="I11" s="256"/>
      <c r="J11" s="59"/>
      <c r="K11" s="256"/>
      <c r="L11" s="256"/>
      <c r="M11" s="258"/>
    </row>
    <row r="12" spans="1:13" ht="21.9" customHeight="1" thickTop="1" x14ac:dyDescent="0.4">
      <c r="A12" s="60" t="s">
        <v>44</v>
      </c>
      <c r="B12" s="62" t="s">
        <v>4</v>
      </c>
      <c r="C12" s="62" t="s">
        <v>16</v>
      </c>
      <c r="D12" s="62" t="s">
        <v>3</v>
      </c>
      <c r="E12" s="98" t="s">
        <v>2</v>
      </c>
      <c r="F12" s="60" t="s">
        <v>44</v>
      </c>
      <c r="G12" s="100" t="s">
        <v>18</v>
      </c>
      <c r="H12" s="100" t="s">
        <v>30</v>
      </c>
      <c r="I12" s="72" t="s">
        <v>42</v>
      </c>
      <c r="J12" s="74" t="s">
        <v>43</v>
      </c>
      <c r="K12" s="146" t="s">
        <v>9</v>
      </c>
      <c r="L12" s="78" t="s">
        <v>19</v>
      </c>
      <c r="M12" s="80" t="s">
        <v>7</v>
      </c>
    </row>
    <row r="13" spans="1:13" ht="21.9" customHeight="1" x14ac:dyDescent="0.4">
      <c r="A13" s="61"/>
      <c r="B13" s="63"/>
      <c r="C13" s="63"/>
      <c r="D13" s="63"/>
      <c r="E13" s="99"/>
      <c r="F13" s="61"/>
      <c r="G13" s="101"/>
      <c r="H13" s="101"/>
      <c r="I13" s="73"/>
      <c r="J13" s="75"/>
      <c r="K13" s="147"/>
      <c r="L13" s="79"/>
      <c r="M13" s="81"/>
    </row>
    <row r="14" spans="1:13" ht="21.9" customHeight="1" x14ac:dyDescent="0.4">
      <c r="A14" s="159" t="s">
        <v>27</v>
      </c>
      <c r="B14" s="3"/>
      <c r="C14" s="3"/>
      <c r="D14" s="3"/>
      <c r="E14" s="11" t="s">
        <v>28</v>
      </c>
      <c r="F14" s="161" t="str">
        <f>A14</f>
        <v>Spurious</v>
      </c>
      <c r="G14" s="42" t="str">
        <f>IF(COUNT(B14:D14)=0, "H", IF(COUNT(B15:D15)=0, "V", IF(MAX(B14:D14) &gt;= MAX(B15:D15), "V", "H")))</f>
        <v>H</v>
      </c>
      <c r="H14" s="44">
        <f>MAX(B14:D15)</f>
        <v>0</v>
      </c>
      <c r="I14" s="120">
        <v>-36</v>
      </c>
      <c r="J14" s="134" t="str">
        <f>IF(OR(I14-H14&gt;10,I14-H14=-36),"No Peak Found",I14-H14)</f>
        <v>No Peak Found</v>
      </c>
      <c r="K14" s="136" t="s">
        <v>8</v>
      </c>
      <c r="L14" s="68" t="str">
        <f>IF(OR(COUNTIF(B14:D15, "-")+COUNTBLANK(B14:D15)=6), "Pass", IF(H14 &gt; I14, "Fail", IF(J14 &lt; 3, "Margin 부족", "Pass")))</f>
        <v>Pass</v>
      </c>
      <c r="M14" s="138" t="s">
        <v>11</v>
      </c>
    </row>
    <row r="15" spans="1:13" ht="21.9" customHeight="1" thickBot="1" x14ac:dyDescent="0.45">
      <c r="A15" s="160"/>
      <c r="B15" s="7"/>
      <c r="C15" s="7"/>
      <c r="D15" s="7"/>
      <c r="E15" s="12" t="s">
        <v>29</v>
      </c>
      <c r="F15" s="162"/>
      <c r="G15" s="163"/>
      <c r="H15" s="164"/>
      <c r="I15" s="165"/>
      <c r="J15" s="135"/>
      <c r="K15" s="166"/>
      <c r="L15" s="69"/>
      <c r="M15" s="167"/>
    </row>
    <row r="16" spans="1:13" ht="21.9" customHeight="1" thickBot="1" x14ac:dyDescent="0.45">
      <c r="A16" s="155" t="s">
        <v>32</v>
      </c>
      <c r="B16" s="156"/>
      <c r="C16" s="156"/>
      <c r="D16" s="156"/>
      <c r="E16" s="157"/>
      <c r="F16" s="156" t="str">
        <f>A16</f>
        <v>1 - 3G</v>
      </c>
      <c r="G16" s="156"/>
      <c r="H16" s="156"/>
      <c r="I16" s="156"/>
      <c r="J16" s="59"/>
      <c r="K16" s="156"/>
      <c r="L16" s="156"/>
      <c r="M16" s="156"/>
    </row>
    <row r="17" spans="1:16" ht="21.9" customHeight="1" thickTop="1" x14ac:dyDescent="0.4">
      <c r="A17" s="60" t="s">
        <v>44</v>
      </c>
      <c r="B17" s="62" t="s">
        <v>15</v>
      </c>
      <c r="C17" s="62" t="s">
        <v>16</v>
      </c>
      <c r="D17" s="62" t="s">
        <v>17</v>
      </c>
      <c r="E17" s="98" t="s">
        <v>18</v>
      </c>
      <c r="F17" s="60" t="s">
        <v>44</v>
      </c>
      <c r="G17" s="100" t="s">
        <v>18</v>
      </c>
      <c r="H17" s="100" t="s">
        <v>30</v>
      </c>
      <c r="I17" s="72" t="s">
        <v>42</v>
      </c>
      <c r="J17" s="74" t="s">
        <v>43</v>
      </c>
      <c r="K17" s="146" t="s">
        <v>9</v>
      </c>
      <c r="L17" s="78" t="s">
        <v>19</v>
      </c>
      <c r="M17" s="80" t="s">
        <v>7</v>
      </c>
    </row>
    <row r="18" spans="1:16" ht="21.9" customHeight="1" x14ac:dyDescent="0.4">
      <c r="A18" s="61"/>
      <c r="B18" s="63"/>
      <c r="C18" s="63"/>
      <c r="D18" s="63"/>
      <c r="E18" s="99"/>
      <c r="F18" s="61"/>
      <c r="G18" s="101"/>
      <c r="H18" s="101"/>
      <c r="I18" s="73"/>
      <c r="J18" s="75"/>
      <c r="K18" s="147"/>
      <c r="L18" s="79"/>
      <c r="M18" s="81"/>
    </row>
    <row r="19" spans="1:16" ht="21.9" customHeight="1" x14ac:dyDescent="0.4">
      <c r="A19" s="148" t="s">
        <v>27</v>
      </c>
      <c r="B19" s="3"/>
      <c r="C19" s="3"/>
      <c r="D19" s="3"/>
      <c r="E19" s="11" t="s">
        <v>28</v>
      </c>
      <c r="F19" s="150" t="str">
        <f>$A$19</f>
        <v>Spurious</v>
      </c>
      <c r="G19" s="42" t="str">
        <f>IF(COUNT(B19:D19)=0, "H", IF(COUNT(B20:D20)=0, "V", IF(MAX(B19:D19) &gt;= MAX(B20:D20), "V", "H")))</f>
        <v>H</v>
      </c>
      <c r="H19" s="44">
        <f>MAX(B19:D20)</f>
        <v>0</v>
      </c>
      <c r="I19" s="120">
        <v>-30</v>
      </c>
      <c r="J19" s="134" t="str">
        <f>IF(OR(I19-H19&gt;10,I19-H19=-30),"No Peak Found",I19-H19)</f>
        <v>No Peak Found</v>
      </c>
      <c r="K19" s="136" t="s">
        <v>8</v>
      </c>
      <c r="L19" s="68" t="str">
        <f>IF(OR(COUNTIF(B19:D20, "-")+COUNTBLANK(B19:D20)=6), "Pass", IF(H19 &gt; I19, "Fail", IF(J19 &lt; 3, "Margin 부족", "Pass")))</f>
        <v>Pass</v>
      </c>
      <c r="M19" s="138" t="s">
        <v>11</v>
      </c>
    </row>
    <row r="20" spans="1:16" ht="21.9" customHeight="1" thickBot="1" x14ac:dyDescent="0.45">
      <c r="A20" s="149"/>
      <c r="B20" s="7"/>
      <c r="C20" s="7"/>
      <c r="D20" s="7"/>
      <c r="E20" s="12" t="s">
        <v>29</v>
      </c>
      <c r="F20" s="151"/>
      <c r="G20" s="152"/>
      <c r="H20" s="153"/>
      <c r="I20" s="154"/>
      <c r="J20" s="135"/>
      <c r="K20" s="105"/>
      <c r="L20" s="137"/>
      <c r="M20" s="139"/>
    </row>
    <row r="21" spans="1:16" ht="21.9" customHeight="1" thickBot="1" x14ac:dyDescent="0.45">
      <c r="A21" s="140" t="s">
        <v>33</v>
      </c>
      <c r="B21" s="141"/>
      <c r="C21" s="141"/>
      <c r="D21" s="141"/>
      <c r="E21" s="141"/>
      <c r="F21" s="142" t="str">
        <f>A21</f>
        <v>3 - 12.75G - 2nd, 3rd, 4th, 5th</v>
      </c>
      <c r="G21" s="143"/>
      <c r="H21" s="143"/>
      <c r="I21" s="143"/>
      <c r="J21" s="59"/>
      <c r="K21" s="143"/>
      <c r="L21" s="144"/>
      <c r="M21" s="145"/>
    </row>
    <row r="22" spans="1:16" ht="21.9" customHeight="1" thickTop="1" x14ac:dyDescent="0.4">
      <c r="A22" s="128" t="s">
        <v>44</v>
      </c>
      <c r="B22" s="130" t="s">
        <v>15</v>
      </c>
      <c r="C22" s="130" t="s">
        <v>16</v>
      </c>
      <c r="D22" s="130" t="s">
        <v>17</v>
      </c>
      <c r="E22" s="132" t="s">
        <v>18</v>
      </c>
      <c r="F22" s="128" t="s">
        <v>44</v>
      </c>
      <c r="G22" s="122" t="s">
        <v>18</v>
      </c>
      <c r="H22" s="122" t="s">
        <v>30</v>
      </c>
      <c r="I22" s="123" t="s">
        <v>42</v>
      </c>
      <c r="J22" s="74" t="s">
        <v>43</v>
      </c>
      <c r="K22" s="124" t="s">
        <v>9</v>
      </c>
      <c r="L22" s="126" t="s">
        <v>19</v>
      </c>
      <c r="M22" s="118" t="s">
        <v>7</v>
      </c>
    </row>
    <row r="23" spans="1:16" ht="21.75" customHeight="1" x14ac:dyDescent="0.4">
      <c r="A23" s="129"/>
      <c r="B23" s="131"/>
      <c r="C23" s="131"/>
      <c r="D23" s="131"/>
      <c r="E23" s="133"/>
      <c r="F23" s="129"/>
      <c r="G23" s="101"/>
      <c r="H23" s="101"/>
      <c r="I23" s="73"/>
      <c r="J23" s="75"/>
      <c r="K23" s="125"/>
      <c r="L23" s="127"/>
      <c r="M23" s="119"/>
    </row>
    <row r="24" spans="1:16" ht="21.9" customHeight="1" x14ac:dyDescent="0.4">
      <c r="A24" s="102">
        <f>I7*2</f>
        <v>0</v>
      </c>
      <c r="B24" s="4"/>
      <c r="C24" s="4"/>
      <c r="D24" s="4"/>
      <c r="E24" s="13" t="s">
        <v>1</v>
      </c>
      <c r="F24" s="314">
        <f>$A$24</f>
        <v>0</v>
      </c>
      <c r="G24" s="152" t="str">
        <f>IF(COUNT(B24:D24)=0, "H", IF(COUNT(B25:D25)=0, "V", IF(MAX(B24:D24) &gt;= MAX(B25:D25), "V", "H")))</f>
        <v>H</v>
      </c>
      <c r="H24" s="153">
        <f>MAX(B24:D25)</f>
        <v>0</v>
      </c>
      <c r="I24" s="321">
        <v>-30</v>
      </c>
      <c r="J24" s="111" t="str">
        <f>IF(OR(I24-H24&gt;10,I24-H24=-30),"No Peak Found",I24-H24)</f>
        <v>No Peak Found</v>
      </c>
      <c r="K24" s="323" t="s">
        <v>8</v>
      </c>
      <c r="L24" s="301" t="str">
        <f>IF(OR(COUNTIF(B24:D25, "-")+COUNTBLANK(B24:D25)=6), "Pass", IF(H24 &gt; I24, "Fail", IF(J24 &lt; 3, "Margin 부족", "Pass")))</f>
        <v>Pass</v>
      </c>
      <c r="M24" s="38" t="s">
        <v>10</v>
      </c>
    </row>
    <row r="25" spans="1:16" ht="21.9" customHeight="1" x14ac:dyDescent="0.4">
      <c r="A25" s="108"/>
      <c r="B25" s="4"/>
      <c r="C25" s="4"/>
      <c r="D25" s="4"/>
      <c r="E25" s="13" t="s">
        <v>0</v>
      </c>
      <c r="F25" s="315"/>
      <c r="G25" s="316"/>
      <c r="H25" s="317"/>
      <c r="I25" s="322"/>
      <c r="J25" s="112"/>
      <c r="K25" s="324"/>
      <c r="L25" s="302"/>
      <c r="M25" s="107"/>
    </row>
    <row r="26" spans="1:16" ht="21.9" customHeight="1" x14ac:dyDescent="0.4">
      <c r="A26" s="102">
        <f>I7*3</f>
        <v>0</v>
      </c>
      <c r="B26" s="4"/>
      <c r="C26" s="4"/>
      <c r="D26" s="4"/>
      <c r="E26" s="13" t="s">
        <v>1</v>
      </c>
      <c r="F26" s="303">
        <f>$A$26</f>
        <v>0</v>
      </c>
      <c r="G26" s="152" t="str">
        <f>IF(COUNT(B26:D26)=0, "H", IF(COUNT(B27:D27)=0, "V", IF(MAX(B26:D26) &gt;= MAX(B27:D27), "V", "H")))</f>
        <v>H</v>
      </c>
      <c r="H26" s="153">
        <f>MAX(B26:D27)</f>
        <v>0</v>
      </c>
      <c r="I26" s="307">
        <v>-30</v>
      </c>
      <c r="J26" s="111" t="str">
        <f t="shared" ref="J26" si="0">IF(OR(I26-H26&gt;10,I26-H26=-30),"No Peak Found",I26-H26)</f>
        <v>No Peak Found</v>
      </c>
      <c r="K26" s="312" t="s">
        <v>8</v>
      </c>
      <c r="L26" s="301" t="str">
        <f>IF(OR(COUNTIF(B26:D27, "-")+COUNTBLANK(B26:D27)=6), "Pass", IF(H26 &gt; I26, "Fail", IF(J26 &lt; 3, "Margin 부족", "Pass")))</f>
        <v>Pass</v>
      </c>
      <c r="M26" s="38" t="s">
        <v>10</v>
      </c>
    </row>
    <row r="27" spans="1:16" ht="21.9" customHeight="1" x14ac:dyDescent="0.4">
      <c r="A27" s="108"/>
      <c r="B27" s="4"/>
      <c r="C27" s="4"/>
      <c r="D27" s="4"/>
      <c r="E27" s="13" t="s">
        <v>0</v>
      </c>
      <c r="F27" s="320"/>
      <c r="G27" s="316"/>
      <c r="H27" s="317"/>
      <c r="I27" s="318"/>
      <c r="J27" s="112"/>
      <c r="K27" s="313"/>
      <c r="L27" s="302"/>
      <c r="M27" s="107"/>
    </row>
    <row r="28" spans="1:16" ht="21.9" customHeight="1" x14ac:dyDescent="0.4">
      <c r="A28" s="102">
        <f>I7*4</f>
        <v>0</v>
      </c>
      <c r="B28" s="4"/>
      <c r="C28" s="4"/>
      <c r="D28" s="4"/>
      <c r="E28" s="13" t="s">
        <v>1</v>
      </c>
      <c r="F28" s="314">
        <f>$A$28</f>
        <v>0</v>
      </c>
      <c r="G28" s="152" t="str">
        <f>IF(COUNT(B28:D28)=0, "H", IF(COUNT(B29:D29)=0, "V", IF(MAX(B28:D28) &gt;= MAX(B29:D29), "V", "H")))</f>
        <v>H</v>
      </c>
      <c r="H28" s="153">
        <f>MAX(B28:D29)</f>
        <v>0</v>
      </c>
      <c r="I28" s="307">
        <v>-30</v>
      </c>
      <c r="J28" s="111" t="str">
        <f t="shared" ref="J28" si="1">IF(OR(I28-H28&gt;10,I28-H28=-30),"No Peak Found",I28-H28)</f>
        <v>No Peak Found</v>
      </c>
      <c r="K28" s="309" t="s">
        <v>8</v>
      </c>
      <c r="L28" s="301" t="str">
        <f>IF(OR(COUNTIF(B28:D29, "-")+COUNTBLANK(B28:D29)=6), "Pass", IF(H28 &gt; I28, "Fail", IF(J28 &lt; 3, "Margin 부족", "Pass")))</f>
        <v>Pass</v>
      </c>
      <c r="M28" s="38" t="s">
        <v>10</v>
      </c>
    </row>
    <row r="29" spans="1:16" ht="21.9" customHeight="1" x14ac:dyDescent="0.4">
      <c r="A29" s="108"/>
      <c r="B29" s="4"/>
      <c r="C29" s="4"/>
      <c r="D29" s="4"/>
      <c r="E29" s="13" t="s">
        <v>0</v>
      </c>
      <c r="F29" s="315"/>
      <c r="G29" s="316"/>
      <c r="H29" s="317"/>
      <c r="I29" s="318"/>
      <c r="J29" s="112"/>
      <c r="K29" s="319"/>
      <c r="L29" s="302"/>
      <c r="M29" s="107"/>
      <c r="N29" s="8" t="s">
        <v>7</v>
      </c>
    </row>
    <row r="30" spans="1:16" ht="21.9" customHeight="1" x14ac:dyDescent="0.4">
      <c r="A30" s="102">
        <f>I7*5</f>
        <v>0</v>
      </c>
      <c r="B30" s="4"/>
      <c r="C30" s="4"/>
      <c r="D30" s="4"/>
      <c r="E30" s="13" t="s">
        <v>1</v>
      </c>
      <c r="F30" s="303">
        <f>$A$30</f>
        <v>0</v>
      </c>
      <c r="G30" s="152" t="str">
        <f>IF(COUNT(B30:D30)=0, "H", IF(COUNT(B31:D31)=0, "V", IF(MAX(B30:D30) &gt;= MAX(B31:D31), "V", "H")))</f>
        <v>H</v>
      </c>
      <c r="H30" s="153">
        <f>MAX(B30:D31)</f>
        <v>0</v>
      </c>
      <c r="I30" s="307">
        <v>-30</v>
      </c>
      <c r="J30" s="111" t="str">
        <f t="shared" ref="J30" si="2">IF(OR(I30-H30&gt;10,I30-H30=-30),"No Peak Found",I30-H30)</f>
        <v>No Peak Found</v>
      </c>
      <c r="K30" s="309" t="s">
        <v>8</v>
      </c>
      <c r="L30" s="301" t="str">
        <f>IF(OR(COUNTIF(B30:D31, "-")+COUNTBLANK(B30:D31)=6), "Pass", IF(H30 &gt; I30, "Fail", IF(J30 &lt; 3, "Margin 부족", "Pass")))</f>
        <v>Pass</v>
      </c>
      <c r="M30" s="138" t="s">
        <v>10</v>
      </c>
      <c r="N30" s="82" t="str">
        <f>"1. LTE Band : " &amp; VALUE(RIGHT(A7, LEN(A7)-1))</f>
        <v>1. LTE Band : 34</v>
      </c>
      <c r="O30" s="83"/>
      <c r="P30" s="83"/>
    </row>
    <row r="31" spans="1:16" ht="21.9" customHeight="1" thickBot="1" x14ac:dyDescent="0.45">
      <c r="A31" s="103"/>
      <c r="B31" s="9"/>
      <c r="C31" s="9"/>
      <c r="D31" s="9"/>
      <c r="E31" s="14" t="s">
        <v>29</v>
      </c>
      <c r="F31" s="304"/>
      <c r="G31" s="305"/>
      <c r="H31" s="306"/>
      <c r="I31" s="308"/>
      <c r="J31" s="115"/>
      <c r="K31" s="310"/>
      <c r="L31" s="311"/>
      <c r="M31" s="139"/>
      <c r="N31" s="84" t="str">
        <f>"2. The test was performed the " &amp; H7 &amp; " antenna."</f>
        <v>2. The test was performed the  antenna.</v>
      </c>
      <c r="O31" s="85"/>
      <c r="P31" s="85"/>
    </row>
    <row r="32" spans="1:16" ht="24.9" customHeight="1" x14ac:dyDescent="0.4">
      <c r="A32" s="86" t="s">
        <v>13</v>
      </c>
      <c r="B32" s="87"/>
      <c r="C32" s="87"/>
      <c r="D32" s="87"/>
      <c r="E32" s="88"/>
      <c r="F32" s="86" t="s">
        <v>41</v>
      </c>
      <c r="G32" s="90"/>
      <c r="H32" s="90"/>
      <c r="I32" s="90"/>
      <c r="J32" s="90"/>
      <c r="K32" s="90"/>
      <c r="L32" s="90"/>
      <c r="M32" s="91"/>
    </row>
    <row r="33" spans="1:13" ht="24.9" customHeight="1" x14ac:dyDescent="0.4">
      <c r="A33" s="89"/>
      <c r="B33" s="87"/>
      <c r="C33" s="87"/>
      <c r="D33" s="87"/>
      <c r="E33" s="88"/>
      <c r="F33" s="300"/>
      <c r="G33" s="92"/>
      <c r="H33" s="92"/>
      <c r="I33" s="92"/>
      <c r="J33" s="92"/>
      <c r="K33" s="92"/>
      <c r="L33" s="92"/>
      <c r="M33" s="93"/>
    </row>
    <row r="34" spans="1:13" ht="21.9" customHeight="1" thickBot="1" x14ac:dyDescent="0.45">
      <c r="A34" s="94" t="s">
        <v>5</v>
      </c>
      <c r="B34" s="95"/>
      <c r="C34" s="95"/>
      <c r="D34" s="95"/>
      <c r="E34" s="96"/>
      <c r="F34" s="97" t="s">
        <v>5</v>
      </c>
      <c r="G34" s="97"/>
      <c r="H34" s="97"/>
      <c r="I34" s="97"/>
      <c r="J34" s="97"/>
      <c r="K34" s="97"/>
      <c r="L34" s="97"/>
      <c r="M34" s="97"/>
    </row>
    <row r="35" spans="1:13" ht="21.9" customHeight="1" thickTop="1" x14ac:dyDescent="0.4">
      <c r="A35" s="60" t="s">
        <v>44</v>
      </c>
      <c r="B35" s="62" t="s">
        <v>15</v>
      </c>
      <c r="C35" s="62" t="s">
        <v>16</v>
      </c>
      <c r="D35" s="62" t="s">
        <v>17</v>
      </c>
      <c r="E35" s="98" t="s">
        <v>18</v>
      </c>
      <c r="F35" s="60" t="s">
        <v>44</v>
      </c>
      <c r="G35" s="100" t="s">
        <v>18</v>
      </c>
      <c r="H35" s="100" t="s">
        <v>30</v>
      </c>
      <c r="I35" s="72" t="s">
        <v>42</v>
      </c>
      <c r="J35" s="74" t="s">
        <v>43</v>
      </c>
      <c r="K35" s="76" t="s">
        <v>9</v>
      </c>
      <c r="L35" s="78" t="s">
        <v>19</v>
      </c>
      <c r="M35" s="80" t="s">
        <v>7</v>
      </c>
    </row>
    <row r="36" spans="1:13" ht="21.9" customHeight="1" x14ac:dyDescent="0.4">
      <c r="A36" s="61"/>
      <c r="B36" s="63"/>
      <c r="C36" s="63"/>
      <c r="D36" s="63"/>
      <c r="E36" s="99"/>
      <c r="F36" s="61"/>
      <c r="G36" s="101"/>
      <c r="H36" s="101"/>
      <c r="I36" s="73"/>
      <c r="J36" s="75"/>
      <c r="K36" s="77"/>
      <c r="L36" s="79"/>
      <c r="M36" s="81"/>
    </row>
    <row r="37" spans="1:13" ht="21.9" customHeight="1" x14ac:dyDescent="0.4">
      <c r="A37" s="46" t="s">
        <v>27</v>
      </c>
      <c r="B37" s="10"/>
      <c r="C37" s="1"/>
      <c r="D37" s="1"/>
      <c r="E37" s="11" t="s">
        <v>28</v>
      </c>
      <c r="F37" s="48" t="str">
        <f>A37</f>
        <v>Spurious</v>
      </c>
      <c r="G37" s="298" t="str">
        <f>IF(COUNT(B37:D37)=0, "H", IF(COUNT(B38:D38)=0, "V", IF(MAX(B37:D37) &gt;= MAX(B38:D38), "V", "H")))</f>
        <v>H</v>
      </c>
      <c r="H37" s="52">
        <f>MAX(B37:D38)</f>
        <v>0</v>
      </c>
      <c r="I37" s="54">
        <v>-57</v>
      </c>
      <c r="J37" s="64" t="str">
        <f>IF(OR(I37-H37&gt;10,I37-H37=-57),"No Peak Found",I37-H37)</f>
        <v>No Peak Found</v>
      </c>
      <c r="K37" s="66" t="s">
        <v>8</v>
      </c>
      <c r="L37" s="68" t="str">
        <f>IF(OR(COUNTIF(B37:D38, "-")+COUNTBLANK(B37:D38)=6), "Pass", IF(H37 &gt; I37, "Fail", IF(J37 &lt; 3, "Margin 부족", "Pass")))</f>
        <v>Pass</v>
      </c>
      <c r="M37" s="70" t="s">
        <v>11</v>
      </c>
    </row>
    <row r="38" spans="1:13" ht="21.9" customHeight="1" thickBot="1" x14ac:dyDescent="0.45">
      <c r="A38" s="47"/>
      <c r="B38" s="2"/>
      <c r="C38" s="2"/>
      <c r="D38" s="2"/>
      <c r="E38" s="12" t="s">
        <v>29</v>
      </c>
      <c r="F38" s="49"/>
      <c r="G38" s="299"/>
      <c r="H38" s="53"/>
      <c r="I38" s="55"/>
      <c r="J38" s="65"/>
      <c r="K38" s="67"/>
      <c r="L38" s="69"/>
      <c r="M38" s="71"/>
    </row>
    <row r="39" spans="1:13" ht="21.9" customHeight="1" thickBot="1" x14ac:dyDescent="0.45">
      <c r="A39" s="56" t="s">
        <v>34</v>
      </c>
      <c r="B39" s="57"/>
      <c r="C39" s="57"/>
      <c r="D39" s="57"/>
      <c r="E39" s="58"/>
      <c r="F39" s="59" t="s">
        <v>34</v>
      </c>
      <c r="G39" s="59"/>
      <c r="H39" s="59"/>
      <c r="I39" s="59"/>
      <c r="J39" s="59"/>
      <c r="K39" s="59"/>
      <c r="L39" s="59"/>
      <c r="M39" s="59"/>
    </row>
    <row r="40" spans="1:13" ht="21.9" customHeight="1" thickTop="1" x14ac:dyDescent="0.4">
      <c r="A40" s="60" t="s">
        <v>44</v>
      </c>
      <c r="B40" s="62" t="s">
        <v>15</v>
      </c>
      <c r="C40" s="62" t="s">
        <v>16</v>
      </c>
      <c r="D40" s="62" t="s">
        <v>17</v>
      </c>
      <c r="E40" s="98" t="s">
        <v>18</v>
      </c>
      <c r="F40" s="60" t="s">
        <v>44</v>
      </c>
      <c r="G40" s="100" t="s">
        <v>18</v>
      </c>
      <c r="H40" s="100" t="s">
        <v>30</v>
      </c>
      <c r="I40" s="72" t="s">
        <v>42</v>
      </c>
      <c r="J40" s="74" t="s">
        <v>43</v>
      </c>
      <c r="K40" s="76" t="s">
        <v>9</v>
      </c>
      <c r="L40" s="78" t="s">
        <v>19</v>
      </c>
      <c r="M40" s="80" t="s">
        <v>7</v>
      </c>
    </row>
    <row r="41" spans="1:13" ht="21.9" customHeight="1" x14ac:dyDescent="0.4">
      <c r="A41" s="61"/>
      <c r="B41" s="63"/>
      <c r="C41" s="63"/>
      <c r="D41" s="63"/>
      <c r="E41" s="99"/>
      <c r="F41" s="61"/>
      <c r="G41" s="101"/>
      <c r="H41" s="101"/>
      <c r="I41" s="73"/>
      <c r="J41" s="75"/>
      <c r="K41" s="77"/>
      <c r="L41" s="79"/>
      <c r="M41" s="81"/>
    </row>
    <row r="42" spans="1:13" ht="21.9" customHeight="1" x14ac:dyDescent="0.4">
      <c r="A42" s="46" t="s">
        <v>27</v>
      </c>
      <c r="B42" s="10"/>
      <c r="C42" s="1"/>
      <c r="D42" s="1"/>
      <c r="E42" s="11" t="s">
        <v>28</v>
      </c>
      <c r="F42" s="48" t="str">
        <f>A42</f>
        <v>Spurious</v>
      </c>
      <c r="G42" s="298" t="str">
        <f>IF(COUNT(B42:D42)=0, "H", IF(COUNT(B43:D43)=0, "V", IF(MAX(B42:D42) &gt;= MAX(B43:D43), "V", "H")))</f>
        <v>H</v>
      </c>
      <c r="H42" s="52">
        <f>MAX(B42:D43)</f>
        <v>0</v>
      </c>
      <c r="I42" s="54">
        <v>-47</v>
      </c>
      <c r="J42" s="64" t="str">
        <f>IF(OR(I42-H42&gt;10,I42-H42=-47),"No Peak Found",I42-H42)</f>
        <v>No Peak Found</v>
      </c>
      <c r="K42" s="66" t="s">
        <v>8</v>
      </c>
      <c r="L42" s="68" t="str">
        <f>IF(OR(COUNTIF(B42:D43, "-")+COUNTBLANK(B42:D43)=6), "Pass", IF(H42 &gt; I42, "Fail", IF(J42 &lt; 3, "Margin 부족", "Pass")))</f>
        <v>Pass</v>
      </c>
      <c r="M42" s="70" t="s">
        <v>11</v>
      </c>
    </row>
    <row r="43" spans="1:13" ht="21.9" customHeight="1" thickBot="1" x14ac:dyDescent="0.45">
      <c r="A43" s="47"/>
      <c r="B43" s="2"/>
      <c r="C43" s="2"/>
      <c r="D43" s="2"/>
      <c r="E43" s="12" t="s">
        <v>29</v>
      </c>
      <c r="F43" s="49"/>
      <c r="G43" s="299"/>
      <c r="H43" s="53"/>
      <c r="I43" s="55"/>
      <c r="J43" s="65"/>
      <c r="K43" s="67"/>
      <c r="L43" s="69"/>
      <c r="M43" s="71"/>
    </row>
    <row r="44" spans="1:13" ht="21.9" customHeight="1" x14ac:dyDescent="0.4"/>
  </sheetData>
  <mergeCells count="177">
    <mergeCell ref="B1:D1"/>
    <mergeCell ref="E1:F2"/>
    <mergeCell ref="G1:M1"/>
    <mergeCell ref="B2:D2"/>
    <mergeCell ref="G2:M2"/>
    <mergeCell ref="A3:M4"/>
    <mergeCell ref="H7:H8"/>
    <mergeCell ref="I7:M8"/>
    <mergeCell ref="A9:E10"/>
    <mergeCell ref="F9:M10"/>
    <mergeCell ref="A11:E11"/>
    <mergeCell ref="F11:M11"/>
    <mergeCell ref="G5:G6"/>
    <mergeCell ref="H5:H6"/>
    <mergeCell ref="I5:M6"/>
    <mergeCell ref="A7:A8"/>
    <mergeCell ref="B7:B8"/>
    <mergeCell ref="C7:C8"/>
    <mergeCell ref="D7:D8"/>
    <mergeCell ref="E7:E8"/>
    <mergeCell ref="F7:F8"/>
    <mergeCell ref="G7:G8"/>
    <mergeCell ref="A5:A6"/>
    <mergeCell ref="B5:B6"/>
    <mergeCell ref="C5:C6"/>
    <mergeCell ref="D5:D6"/>
    <mergeCell ref="E5:E6"/>
    <mergeCell ref="F5:F6"/>
    <mergeCell ref="M12:M13"/>
    <mergeCell ref="A14:A15"/>
    <mergeCell ref="F14:F15"/>
    <mergeCell ref="G14:G15"/>
    <mergeCell ref="H14:H15"/>
    <mergeCell ref="I14:I15"/>
    <mergeCell ref="J14:J15"/>
    <mergeCell ref="K14:K15"/>
    <mergeCell ref="L14:L15"/>
    <mergeCell ref="M14:M15"/>
    <mergeCell ref="G12:G13"/>
    <mergeCell ref="H12:H13"/>
    <mergeCell ref="I12:I13"/>
    <mergeCell ref="J12:J13"/>
    <mergeCell ref="K12:K13"/>
    <mergeCell ref="L12:L13"/>
    <mergeCell ref="A12:A13"/>
    <mergeCell ref="B12:B13"/>
    <mergeCell ref="C12:C13"/>
    <mergeCell ref="D12:D13"/>
    <mergeCell ref="E12:E13"/>
    <mergeCell ref="F12:F13"/>
    <mergeCell ref="A16:E16"/>
    <mergeCell ref="F16:M16"/>
    <mergeCell ref="A17:A18"/>
    <mergeCell ref="B17:B18"/>
    <mergeCell ref="C17:C18"/>
    <mergeCell ref="D17:D18"/>
    <mergeCell ref="E17:E18"/>
    <mergeCell ref="F17:F18"/>
    <mergeCell ref="G17:G18"/>
    <mergeCell ref="H17:H18"/>
    <mergeCell ref="J19:J20"/>
    <mergeCell ref="K19:K20"/>
    <mergeCell ref="L19:L20"/>
    <mergeCell ref="M19:M20"/>
    <mergeCell ref="A21:E21"/>
    <mergeCell ref="F21:M21"/>
    <mergeCell ref="I17:I18"/>
    <mergeCell ref="J17:J18"/>
    <mergeCell ref="K17:K18"/>
    <mergeCell ref="L17:L18"/>
    <mergeCell ref="M17:M18"/>
    <mergeCell ref="A19:A20"/>
    <mergeCell ref="F19:F20"/>
    <mergeCell ref="G19:G20"/>
    <mergeCell ref="H19:H20"/>
    <mergeCell ref="I19:I20"/>
    <mergeCell ref="M22:M23"/>
    <mergeCell ref="A24:A25"/>
    <mergeCell ref="F24:F25"/>
    <mergeCell ref="G24:G25"/>
    <mergeCell ref="H24:H25"/>
    <mergeCell ref="I24:I25"/>
    <mergeCell ref="J24:J25"/>
    <mergeCell ref="K24:K25"/>
    <mergeCell ref="L24:L25"/>
    <mergeCell ref="M24:M25"/>
    <mergeCell ref="G22:G23"/>
    <mergeCell ref="H22:H23"/>
    <mergeCell ref="I22:I23"/>
    <mergeCell ref="J22:J23"/>
    <mergeCell ref="K22:K23"/>
    <mergeCell ref="L22:L23"/>
    <mergeCell ref="A22:A23"/>
    <mergeCell ref="B22:B23"/>
    <mergeCell ref="C22:C23"/>
    <mergeCell ref="D22:D23"/>
    <mergeCell ref="E22:E23"/>
    <mergeCell ref="F22:F23"/>
    <mergeCell ref="K26:K27"/>
    <mergeCell ref="L26:L27"/>
    <mergeCell ref="M26:M27"/>
    <mergeCell ref="A28:A29"/>
    <mergeCell ref="F28:F29"/>
    <mergeCell ref="G28:G29"/>
    <mergeCell ref="H28:H29"/>
    <mergeCell ref="I28:I29"/>
    <mergeCell ref="J28:J29"/>
    <mergeCell ref="K28:K29"/>
    <mergeCell ref="A26:A27"/>
    <mergeCell ref="F26:F27"/>
    <mergeCell ref="G26:G27"/>
    <mergeCell ref="H26:H27"/>
    <mergeCell ref="I26:I27"/>
    <mergeCell ref="J26:J27"/>
    <mergeCell ref="M30:M31"/>
    <mergeCell ref="N30:P30"/>
    <mergeCell ref="N31:P31"/>
    <mergeCell ref="A32:E33"/>
    <mergeCell ref="F32:M33"/>
    <mergeCell ref="A34:E34"/>
    <mergeCell ref="F34:M34"/>
    <mergeCell ref="L28:L29"/>
    <mergeCell ref="M28:M29"/>
    <mergeCell ref="A30:A31"/>
    <mergeCell ref="F30:F31"/>
    <mergeCell ref="G30:G31"/>
    <mergeCell ref="H30:H31"/>
    <mergeCell ref="I30:I31"/>
    <mergeCell ref="J30:J31"/>
    <mergeCell ref="K30:K31"/>
    <mergeCell ref="L30:L31"/>
    <mergeCell ref="M35:M36"/>
    <mergeCell ref="A37:A38"/>
    <mergeCell ref="F37:F38"/>
    <mergeCell ref="G37:G38"/>
    <mergeCell ref="H37:H38"/>
    <mergeCell ref="I37:I38"/>
    <mergeCell ref="J37:J38"/>
    <mergeCell ref="K37:K38"/>
    <mergeCell ref="L37:L38"/>
    <mergeCell ref="M37:M38"/>
    <mergeCell ref="G35:G36"/>
    <mergeCell ref="H35:H36"/>
    <mergeCell ref="I35:I36"/>
    <mergeCell ref="J35:J36"/>
    <mergeCell ref="K35:K36"/>
    <mergeCell ref="L35:L36"/>
    <mergeCell ref="A35:A36"/>
    <mergeCell ref="B35:B36"/>
    <mergeCell ref="C35:C36"/>
    <mergeCell ref="D35:D36"/>
    <mergeCell ref="E35:E36"/>
    <mergeCell ref="F35:F36"/>
    <mergeCell ref="A42:A43"/>
    <mergeCell ref="F42:F43"/>
    <mergeCell ref="G42:G43"/>
    <mergeCell ref="H42:H43"/>
    <mergeCell ref="I42:I43"/>
    <mergeCell ref="A39:E39"/>
    <mergeCell ref="F39:M39"/>
    <mergeCell ref="A40:A41"/>
    <mergeCell ref="B40:B41"/>
    <mergeCell ref="C40:C41"/>
    <mergeCell ref="D40:D41"/>
    <mergeCell ref="E40:E41"/>
    <mergeCell ref="F40:F41"/>
    <mergeCell ref="G40:G41"/>
    <mergeCell ref="H40:H41"/>
    <mergeCell ref="J42:J43"/>
    <mergeCell ref="K42:K43"/>
    <mergeCell ref="L42:L43"/>
    <mergeCell ref="M42:M43"/>
    <mergeCell ref="I40:I41"/>
    <mergeCell ref="J40:J41"/>
    <mergeCell ref="K40:K41"/>
    <mergeCell ref="L40:L41"/>
    <mergeCell ref="M40:M41"/>
  </mergeCells>
  <phoneticPr fontId="1" type="noConversion"/>
  <conditionalFormatting sqref="J14 J19">
    <cfRule type="cellIs" dxfId="108" priority="22" operator="lessThan">
      <formula>10</formula>
    </cfRule>
  </conditionalFormatting>
  <conditionalFormatting sqref="J14">
    <cfRule type="cellIs" dxfId="107" priority="21" operator="equal">
      <formula>-36</formula>
    </cfRule>
  </conditionalFormatting>
  <conditionalFormatting sqref="L14 L19">
    <cfRule type="cellIs" dxfId="106" priority="20" operator="equal">
      <formula>"Fail"</formula>
    </cfRule>
  </conditionalFormatting>
  <conditionalFormatting sqref="L24">
    <cfRule type="cellIs" dxfId="105" priority="19" operator="equal">
      <formula>"Fail"</formula>
    </cfRule>
  </conditionalFormatting>
  <conditionalFormatting sqref="L26">
    <cfRule type="cellIs" dxfId="104" priority="18" operator="equal">
      <formula>"Fail"</formula>
    </cfRule>
  </conditionalFormatting>
  <conditionalFormatting sqref="L28">
    <cfRule type="cellIs" dxfId="103" priority="17" operator="equal">
      <formula>"Fail"</formula>
    </cfRule>
  </conditionalFormatting>
  <conditionalFormatting sqref="L30">
    <cfRule type="cellIs" dxfId="102" priority="16" operator="equal">
      <formula>"Fail"</formula>
    </cfRule>
  </conditionalFormatting>
  <conditionalFormatting sqref="V33">
    <cfRule type="cellIs" dxfId="101" priority="15" operator="equal">
      <formula>"Fail"</formula>
    </cfRule>
  </conditionalFormatting>
  <conditionalFormatting sqref="L14:L15 L19:L20 L24:L31">
    <cfRule type="cellIs" dxfId="100" priority="14" operator="equal">
      <formula>"Pass"</formula>
    </cfRule>
  </conditionalFormatting>
  <conditionalFormatting sqref="L37">
    <cfRule type="cellIs" dxfId="99" priority="13" operator="equal">
      <formula>"Fail"</formula>
    </cfRule>
  </conditionalFormatting>
  <conditionalFormatting sqref="L37:L38">
    <cfRule type="cellIs" dxfId="98" priority="12" operator="equal">
      <formula>"Pass"</formula>
    </cfRule>
  </conditionalFormatting>
  <conditionalFormatting sqref="L42">
    <cfRule type="cellIs" dxfId="97" priority="11" operator="equal">
      <formula>"Fail"</formula>
    </cfRule>
  </conditionalFormatting>
  <conditionalFormatting sqref="L42:L43">
    <cfRule type="cellIs" dxfId="96" priority="10" operator="equal">
      <formula>"Pass"</formula>
    </cfRule>
  </conditionalFormatting>
  <conditionalFormatting sqref="B14:D15">
    <cfRule type="top10" dxfId="95" priority="9" rank="1"/>
  </conditionalFormatting>
  <conditionalFormatting sqref="B19:D20">
    <cfRule type="top10" dxfId="94" priority="8" rank="1"/>
  </conditionalFormatting>
  <conditionalFormatting sqref="B24:D25">
    <cfRule type="top10" dxfId="93" priority="7" rank="1"/>
  </conditionalFormatting>
  <conditionalFormatting sqref="B26:D27">
    <cfRule type="top10" dxfId="92" priority="6" rank="1"/>
  </conditionalFormatting>
  <conditionalFormatting sqref="B28:D29">
    <cfRule type="top10" dxfId="91" priority="5" rank="1"/>
  </conditionalFormatting>
  <conditionalFormatting sqref="B30:D31">
    <cfRule type="top10" dxfId="90" priority="4" rank="1"/>
  </conditionalFormatting>
  <conditionalFormatting sqref="J24 J26 J28 J30">
    <cfRule type="expression" dxfId="89" priority="1">
      <formula>J24=-30</formula>
    </cfRule>
    <cfRule type="expression" dxfId="88" priority="2">
      <formula>AND(J24&lt;&gt;-30,J24&lt;=3)</formula>
    </cfRule>
    <cfRule type="expression" dxfId="87" priority="3">
      <formula>AND(J24&gt;3,J24&lt;10)</formula>
    </cfRule>
  </conditionalFormatting>
  <dataValidations count="1">
    <dataValidation type="list" allowBlank="1" showInputMessage="1" showErrorMessage="1" sqref="M14 M19 M30 M24 M26 M28 M42:M43 M37:M38" xr:uid="{C3B81829-21CF-4BCE-AEEE-442677CD9E17}">
      <formula1>"Fundamental, Harmonic, Noise Floor, -"</formula1>
    </dataValidation>
  </dataValidations>
  <pageMargins left="0.7" right="0.7" top="0.75" bottom="0.75" header="0.3" footer="0.3"/>
  <pageSetup paperSize="9" scale="27" orientation="portrait" r:id="rId1"/>
  <colBreaks count="1" manualBreakCount="1">
    <brk id="13" max="42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F6903-A3BD-42B2-9986-55F51E377973}">
  <dimension ref="A1:P44"/>
  <sheetViews>
    <sheetView view="pageBreakPreview" zoomScale="85" zoomScaleNormal="100" zoomScaleSheetLayoutView="85" workbookViewId="0"/>
  </sheetViews>
  <sheetFormatPr defaultRowHeight="17.399999999999999" outlineLevelCol="1" x14ac:dyDescent="0.4"/>
  <cols>
    <col min="1" max="11" width="12.59765625" style="6" customWidth="1"/>
    <col min="12" max="13" width="12.59765625" style="6" hidden="1" customWidth="1" outlineLevel="1"/>
    <col min="14" max="14" width="12.59765625" style="6" customWidth="1" collapsed="1"/>
    <col min="15" max="16" width="12.59765625" style="6" customWidth="1"/>
    <col min="17" max="22" width="12.59765625" customWidth="1"/>
  </cols>
  <sheetData>
    <row r="1" spans="1:13" ht="20.100000000000001" customHeight="1" x14ac:dyDescent="0.4">
      <c r="A1" s="5" t="s">
        <v>14</v>
      </c>
      <c r="B1" s="188"/>
      <c r="C1" s="189"/>
      <c r="D1" s="190"/>
      <c r="E1" s="191" t="s">
        <v>35</v>
      </c>
      <c r="F1" s="192"/>
      <c r="G1" s="188" t="s">
        <v>36</v>
      </c>
      <c r="H1" s="189"/>
      <c r="I1" s="189"/>
      <c r="J1" s="189"/>
      <c r="K1" s="189"/>
      <c r="L1" s="189"/>
      <c r="M1" s="190"/>
    </row>
    <row r="2" spans="1:13" ht="20.100000000000001" customHeight="1" thickBot="1" x14ac:dyDescent="0.45">
      <c r="A2" s="18" t="s">
        <v>47</v>
      </c>
      <c r="B2" s="195"/>
      <c r="C2" s="196"/>
      <c r="D2" s="197"/>
      <c r="E2" s="193"/>
      <c r="F2" s="194"/>
      <c r="G2" s="195" t="s">
        <v>45</v>
      </c>
      <c r="H2" s="196"/>
      <c r="I2" s="196"/>
      <c r="J2" s="196"/>
      <c r="K2" s="196"/>
      <c r="L2" s="196"/>
      <c r="M2" s="197"/>
    </row>
    <row r="3" spans="1:13" ht="24.9" customHeight="1" x14ac:dyDescent="0.4">
      <c r="A3" s="198" t="s">
        <v>48</v>
      </c>
      <c r="B3" s="199"/>
      <c r="C3" s="199"/>
      <c r="D3" s="199"/>
      <c r="E3" s="199"/>
      <c r="F3" s="199"/>
      <c r="G3" s="199"/>
      <c r="H3" s="199"/>
      <c r="I3" s="199"/>
      <c r="J3" s="199"/>
      <c r="K3" s="199"/>
      <c r="L3" s="199"/>
      <c r="M3" s="200"/>
    </row>
    <row r="4" spans="1:13" ht="24.9" customHeight="1" thickBot="1" x14ac:dyDescent="0.45">
      <c r="A4" s="201"/>
      <c r="B4" s="202"/>
      <c r="C4" s="202"/>
      <c r="D4" s="202"/>
      <c r="E4" s="202"/>
      <c r="F4" s="202"/>
      <c r="G4" s="202"/>
      <c r="H4" s="202"/>
      <c r="I4" s="202"/>
      <c r="J4" s="202"/>
      <c r="K4" s="202"/>
      <c r="L4" s="202"/>
      <c r="M4" s="203"/>
    </row>
    <row r="5" spans="1:13" ht="24.9" customHeight="1" x14ac:dyDescent="0.4">
      <c r="A5" s="186" t="s">
        <v>20</v>
      </c>
      <c r="B5" s="278" t="s">
        <v>23</v>
      </c>
      <c r="C5" s="274" t="s">
        <v>25</v>
      </c>
      <c r="D5" s="274" t="s">
        <v>21</v>
      </c>
      <c r="E5" s="274" t="s">
        <v>22</v>
      </c>
      <c r="F5" s="274" t="s">
        <v>26</v>
      </c>
      <c r="G5" s="272" t="s">
        <v>38</v>
      </c>
      <c r="H5" s="274" t="s">
        <v>37</v>
      </c>
      <c r="I5" s="281" t="s">
        <v>39</v>
      </c>
      <c r="J5" s="207"/>
      <c r="K5" s="207"/>
      <c r="L5" s="207"/>
      <c r="M5" s="282"/>
    </row>
    <row r="6" spans="1:13" ht="20.100000000000001" customHeight="1" x14ac:dyDescent="0.4">
      <c r="A6" s="187"/>
      <c r="B6" s="279"/>
      <c r="C6" s="275"/>
      <c r="D6" s="275"/>
      <c r="E6" s="275"/>
      <c r="F6" s="275"/>
      <c r="G6" s="273"/>
      <c r="H6" s="275"/>
      <c r="I6" s="283"/>
      <c r="J6" s="284"/>
      <c r="K6" s="284"/>
      <c r="L6" s="284"/>
      <c r="M6" s="285"/>
    </row>
    <row r="7" spans="1:13" ht="20.100000000000001" customHeight="1" x14ac:dyDescent="0.4">
      <c r="A7" s="204" t="s">
        <v>49</v>
      </c>
      <c r="B7" s="276"/>
      <c r="C7" s="264"/>
      <c r="D7" s="264"/>
      <c r="E7" s="263"/>
      <c r="F7" s="263"/>
      <c r="G7" s="263">
        <v>15</v>
      </c>
      <c r="H7" s="264"/>
      <c r="I7" s="286"/>
      <c r="J7" s="287"/>
      <c r="K7" s="287"/>
      <c r="L7" s="287"/>
      <c r="M7" s="288"/>
    </row>
    <row r="8" spans="1:13" ht="20.100000000000001" customHeight="1" thickBot="1" x14ac:dyDescent="0.45">
      <c r="A8" s="205"/>
      <c r="B8" s="277"/>
      <c r="C8" s="265"/>
      <c r="D8" s="265"/>
      <c r="E8" s="264"/>
      <c r="F8" s="264"/>
      <c r="G8" s="264"/>
      <c r="H8" s="265"/>
      <c r="I8" s="289"/>
      <c r="J8" s="290"/>
      <c r="K8" s="290"/>
      <c r="L8" s="290"/>
      <c r="M8" s="291"/>
    </row>
    <row r="9" spans="1:13" ht="24.9" customHeight="1" x14ac:dyDescent="0.4">
      <c r="A9" s="266" t="s">
        <v>12</v>
      </c>
      <c r="B9" s="267"/>
      <c r="C9" s="267"/>
      <c r="D9" s="267"/>
      <c r="E9" s="268"/>
      <c r="F9" s="271" t="s">
        <v>40</v>
      </c>
      <c r="G9" s="267"/>
      <c r="H9" s="267"/>
      <c r="I9" s="267"/>
      <c r="J9" s="267"/>
      <c r="K9" s="267"/>
      <c r="L9" s="267"/>
      <c r="M9" s="268"/>
    </row>
    <row r="10" spans="1:13" ht="24.9" customHeight="1" x14ac:dyDescent="0.4">
      <c r="A10" s="269"/>
      <c r="B10" s="177"/>
      <c r="C10" s="177"/>
      <c r="D10" s="177"/>
      <c r="E10" s="270"/>
      <c r="F10" s="177"/>
      <c r="G10" s="177"/>
      <c r="H10" s="177"/>
      <c r="I10" s="177"/>
      <c r="J10" s="177"/>
      <c r="K10" s="177"/>
      <c r="L10" s="177"/>
      <c r="M10" s="270"/>
    </row>
    <row r="11" spans="1:13" ht="21.9" customHeight="1" thickBot="1" x14ac:dyDescent="0.45">
      <c r="A11" s="280" t="s">
        <v>6</v>
      </c>
      <c r="B11" s="256"/>
      <c r="C11" s="256"/>
      <c r="D11" s="256"/>
      <c r="E11" s="258"/>
      <c r="F11" s="256" t="str">
        <f>A11</f>
        <v>30M-1G</v>
      </c>
      <c r="G11" s="256"/>
      <c r="H11" s="256"/>
      <c r="I11" s="256"/>
      <c r="J11" s="59"/>
      <c r="K11" s="256"/>
      <c r="L11" s="256"/>
      <c r="M11" s="258"/>
    </row>
    <row r="12" spans="1:13" ht="21.9" customHeight="1" thickTop="1" x14ac:dyDescent="0.4">
      <c r="A12" s="60" t="s">
        <v>44</v>
      </c>
      <c r="B12" s="62" t="s">
        <v>4</v>
      </c>
      <c r="C12" s="62" t="s">
        <v>16</v>
      </c>
      <c r="D12" s="62" t="s">
        <v>3</v>
      </c>
      <c r="E12" s="98" t="s">
        <v>2</v>
      </c>
      <c r="F12" s="60" t="s">
        <v>44</v>
      </c>
      <c r="G12" s="100" t="s">
        <v>18</v>
      </c>
      <c r="H12" s="100" t="s">
        <v>30</v>
      </c>
      <c r="I12" s="72" t="s">
        <v>42</v>
      </c>
      <c r="J12" s="74" t="s">
        <v>43</v>
      </c>
      <c r="K12" s="146" t="s">
        <v>9</v>
      </c>
      <c r="L12" s="78" t="s">
        <v>19</v>
      </c>
      <c r="M12" s="80" t="s">
        <v>7</v>
      </c>
    </row>
    <row r="13" spans="1:13" ht="21.9" customHeight="1" x14ac:dyDescent="0.4">
      <c r="A13" s="61"/>
      <c r="B13" s="63"/>
      <c r="C13" s="63"/>
      <c r="D13" s="63"/>
      <c r="E13" s="99"/>
      <c r="F13" s="61"/>
      <c r="G13" s="101"/>
      <c r="H13" s="101"/>
      <c r="I13" s="73"/>
      <c r="J13" s="75"/>
      <c r="K13" s="147"/>
      <c r="L13" s="79"/>
      <c r="M13" s="81"/>
    </row>
    <row r="14" spans="1:13" ht="21.9" customHeight="1" x14ac:dyDescent="0.4">
      <c r="A14" s="159" t="s">
        <v>27</v>
      </c>
      <c r="B14" s="3"/>
      <c r="C14" s="3"/>
      <c r="D14" s="3"/>
      <c r="E14" s="11" t="s">
        <v>28</v>
      </c>
      <c r="F14" s="161" t="str">
        <f>A14</f>
        <v>Spurious</v>
      </c>
      <c r="G14" s="42" t="str">
        <f>IF(COUNT(B14:D14)=0, "H", IF(COUNT(B15:D15)=0, "V", IF(MAX(B14:D14) &gt;= MAX(B15:D15), "V", "H")))</f>
        <v>H</v>
      </c>
      <c r="H14" s="44">
        <f>MAX(B14:D15)</f>
        <v>0</v>
      </c>
      <c r="I14" s="120">
        <v>-36</v>
      </c>
      <c r="J14" s="134" t="str">
        <f>IF(OR(I14-H14&gt;10,I14-H14=-36),"No Peak Found",I14-H14)</f>
        <v>No Peak Found</v>
      </c>
      <c r="K14" s="136" t="s">
        <v>8</v>
      </c>
      <c r="L14" s="68" t="str">
        <f>IF(OR(COUNTIF(B14:D15, "-")+COUNTBLANK(B14:D15)=6), "Pass", IF(H14 &gt; I14, "Fail", IF(J14 &lt; 3, "Margin 부족", "Pass")))</f>
        <v>Pass</v>
      </c>
      <c r="M14" s="138" t="s">
        <v>11</v>
      </c>
    </row>
    <row r="15" spans="1:13" ht="21.9" customHeight="1" thickBot="1" x14ac:dyDescent="0.45">
      <c r="A15" s="160"/>
      <c r="B15" s="7"/>
      <c r="C15" s="7"/>
      <c r="D15" s="7"/>
      <c r="E15" s="12" t="s">
        <v>29</v>
      </c>
      <c r="F15" s="162"/>
      <c r="G15" s="163"/>
      <c r="H15" s="164"/>
      <c r="I15" s="165"/>
      <c r="J15" s="135"/>
      <c r="K15" s="166"/>
      <c r="L15" s="69"/>
      <c r="M15" s="167"/>
    </row>
    <row r="16" spans="1:13" ht="21.9" customHeight="1" thickBot="1" x14ac:dyDescent="0.45">
      <c r="A16" s="155" t="s">
        <v>32</v>
      </c>
      <c r="B16" s="156"/>
      <c r="C16" s="156"/>
      <c r="D16" s="156"/>
      <c r="E16" s="157"/>
      <c r="F16" s="156" t="str">
        <f>A16</f>
        <v>1 - 3G</v>
      </c>
      <c r="G16" s="156"/>
      <c r="H16" s="156"/>
      <c r="I16" s="156"/>
      <c r="J16" s="59"/>
      <c r="K16" s="156"/>
      <c r="L16" s="156"/>
      <c r="M16" s="156"/>
    </row>
    <row r="17" spans="1:16" ht="21.9" customHeight="1" thickTop="1" x14ac:dyDescent="0.4">
      <c r="A17" s="60" t="s">
        <v>44</v>
      </c>
      <c r="B17" s="62" t="s">
        <v>15</v>
      </c>
      <c r="C17" s="62" t="s">
        <v>16</v>
      </c>
      <c r="D17" s="62" t="s">
        <v>17</v>
      </c>
      <c r="E17" s="98" t="s">
        <v>18</v>
      </c>
      <c r="F17" s="60" t="s">
        <v>44</v>
      </c>
      <c r="G17" s="100" t="s">
        <v>18</v>
      </c>
      <c r="H17" s="100" t="s">
        <v>30</v>
      </c>
      <c r="I17" s="72" t="s">
        <v>42</v>
      </c>
      <c r="J17" s="74" t="s">
        <v>43</v>
      </c>
      <c r="K17" s="146" t="s">
        <v>9</v>
      </c>
      <c r="L17" s="78" t="s">
        <v>19</v>
      </c>
      <c r="M17" s="80" t="s">
        <v>7</v>
      </c>
    </row>
    <row r="18" spans="1:16" ht="21.9" customHeight="1" x14ac:dyDescent="0.4">
      <c r="A18" s="61"/>
      <c r="B18" s="63"/>
      <c r="C18" s="63"/>
      <c r="D18" s="63"/>
      <c r="E18" s="99"/>
      <c r="F18" s="61"/>
      <c r="G18" s="101"/>
      <c r="H18" s="101"/>
      <c r="I18" s="73"/>
      <c r="J18" s="75"/>
      <c r="K18" s="147"/>
      <c r="L18" s="79"/>
      <c r="M18" s="81"/>
    </row>
    <row r="19" spans="1:16" ht="21.9" customHeight="1" x14ac:dyDescent="0.4">
      <c r="A19" s="148" t="s">
        <v>27</v>
      </c>
      <c r="B19" s="3"/>
      <c r="C19" s="3"/>
      <c r="D19" s="3"/>
      <c r="E19" s="11" t="s">
        <v>28</v>
      </c>
      <c r="F19" s="150" t="str">
        <f>$A$19</f>
        <v>Spurious</v>
      </c>
      <c r="G19" s="42" t="str">
        <f>IF(COUNT(B19:D19)=0, "H", IF(COUNT(B20:D20)=0, "V", IF(MAX(B19:D19) &gt;= MAX(B20:D20), "V", "H")))</f>
        <v>H</v>
      </c>
      <c r="H19" s="44">
        <f>MAX(B19:D20)</f>
        <v>0</v>
      </c>
      <c r="I19" s="120">
        <v>-30</v>
      </c>
      <c r="J19" s="134" t="str">
        <f>IF(OR(I19-H19&gt;10,I19-H19=-30),"No Peak Found",I19-H19)</f>
        <v>No Peak Found</v>
      </c>
      <c r="K19" s="136" t="s">
        <v>8</v>
      </c>
      <c r="L19" s="68" t="str">
        <f>IF(OR(COUNTIF(B19:D20, "-")+COUNTBLANK(B19:D20)=6), "Pass", IF(H19 &gt; I19, "Fail", IF(J19 &lt; 3, "Margin 부족", "Pass")))</f>
        <v>Pass</v>
      </c>
      <c r="M19" s="138" t="s">
        <v>11</v>
      </c>
    </row>
    <row r="20" spans="1:16" ht="21.9" customHeight="1" thickBot="1" x14ac:dyDescent="0.45">
      <c r="A20" s="149"/>
      <c r="B20" s="7"/>
      <c r="C20" s="7"/>
      <c r="D20" s="7"/>
      <c r="E20" s="12" t="s">
        <v>29</v>
      </c>
      <c r="F20" s="151"/>
      <c r="G20" s="152"/>
      <c r="H20" s="153"/>
      <c r="I20" s="154"/>
      <c r="J20" s="135"/>
      <c r="K20" s="105"/>
      <c r="L20" s="137"/>
      <c r="M20" s="139"/>
    </row>
    <row r="21" spans="1:16" ht="21.9" customHeight="1" thickBot="1" x14ac:dyDescent="0.45">
      <c r="A21" s="140" t="s">
        <v>33</v>
      </c>
      <c r="B21" s="141"/>
      <c r="C21" s="141"/>
      <c r="D21" s="141"/>
      <c r="E21" s="141"/>
      <c r="F21" s="142" t="str">
        <f>A21</f>
        <v>3 - 12.75G - 2nd, 3rd, 4th, 5th</v>
      </c>
      <c r="G21" s="143"/>
      <c r="H21" s="143"/>
      <c r="I21" s="143"/>
      <c r="J21" s="59"/>
      <c r="K21" s="143"/>
      <c r="L21" s="144"/>
      <c r="M21" s="145"/>
    </row>
    <row r="22" spans="1:16" ht="21.9" customHeight="1" thickTop="1" x14ac:dyDescent="0.4">
      <c r="A22" s="128" t="s">
        <v>44</v>
      </c>
      <c r="B22" s="130" t="s">
        <v>15</v>
      </c>
      <c r="C22" s="130" t="s">
        <v>16</v>
      </c>
      <c r="D22" s="130" t="s">
        <v>17</v>
      </c>
      <c r="E22" s="132" t="s">
        <v>18</v>
      </c>
      <c r="F22" s="128" t="s">
        <v>44</v>
      </c>
      <c r="G22" s="122" t="s">
        <v>18</v>
      </c>
      <c r="H22" s="122" t="s">
        <v>30</v>
      </c>
      <c r="I22" s="123" t="s">
        <v>42</v>
      </c>
      <c r="J22" s="74" t="s">
        <v>43</v>
      </c>
      <c r="K22" s="124" t="s">
        <v>9</v>
      </c>
      <c r="L22" s="126" t="s">
        <v>19</v>
      </c>
      <c r="M22" s="118" t="s">
        <v>7</v>
      </c>
    </row>
    <row r="23" spans="1:16" ht="21.75" customHeight="1" x14ac:dyDescent="0.4">
      <c r="A23" s="129"/>
      <c r="B23" s="131"/>
      <c r="C23" s="131"/>
      <c r="D23" s="131"/>
      <c r="E23" s="133"/>
      <c r="F23" s="129"/>
      <c r="G23" s="101"/>
      <c r="H23" s="101"/>
      <c r="I23" s="73"/>
      <c r="J23" s="75"/>
      <c r="K23" s="125"/>
      <c r="L23" s="127"/>
      <c r="M23" s="119"/>
    </row>
    <row r="24" spans="1:16" ht="21.9" customHeight="1" x14ac:dyDescent="0.4">
      <c r="A24" s="102">
        <f>I7*2</f>
        <v>0</v>
      </c>
      <c r="B24" s="4"/>
      <c r="C24" s="4"/>
      <c r="D24" s="4"/>
      <c r="E24" s="13" t="s">
        <v>1</v>
      </c>
      <c r="F24" s="314">
        <f>$A$24</f>
        <v>0</v>
      </c>
      <c r="G24" s="152" t="str">
        <f>IF(COUNT(B24:D24)=0, "H", IF(COUNT(B25:D25)=0, "V", IF(MAX(B24:D24) &gt;= MAX(B25:D25), "V", "H")))</f>
        <v>H</v>
      </c>
      <c r="H24" s="153">
        <f>MAX(B24:D25)</f>
        <v>0</v>
      </c>
      <c r="I24" s="321">
        <v>-30</v>
      </c>
      <c r="J24" s="111" t="str">
        <f>IF(OR(I24-H24&gt;10,I24-H24=-30),"No Peak Found",I24-H24)</f>
        <v>No Peak Found</v>
      </c>
      <c r="K24" s="323" t="s">
        <v>8</v>
      </c>
      <c r="L24" s="301" t="str">
        <f>IF(OR(COUNTIF(B24:D25, "-")+COUNTBLANK(B24:D25)=6), "Pass", IF(H24 &gt; I24, "Fail", IF(J24 &lt; 3, "Margin 부족", "Pass")))</f>
        <v>Pass</v>
      </c>
      <c r="M24" s="38" t="s">
        <v>10</v>
      </c>
    </row>
    <row r="25" spans="1:16" ht="21.9" customHeight="1" x14ac:dyDescent="0.4">
      <c r="A25" s="108"/>
      <c r="B25" s="4"/>
      <c r="C25" s="4"/>
      <c r="D25" s="4"/>
      <c r="E25" s="13" t="s">
        <v>0</v>
      </c>
      <c r="F25" s="315"/>
      <c r="G25" s="316"/>
      <c r="H25" s="317"/>
      <c r="I25" s="322"/>
      <c r="J25" s="112"/>
      <c r="K25" s="324"/>
      <c r="L25" s="302"/>
      <c r="M25" s="107"/>
    </row>
    <row r="26" spans="1:16" ht="21.9" customHeight="1" x14ac:dyDescent="0.4">
      <c r="A26" s="102">
        <f>I7*3</f>
        <v>0</v>
      </c>
      <c r="B26" s="4"/>
      <c r="C26" s="4"/>
      <c r="D26" s="4"/>
      <c r="E26" s="13" t="s">
        <v>1</v>
      </c>
      <c r="F26" s="303">
        <f>$A$26</f>
        <v>0</v>
      </c>
      <c r="G26" s="152" t="str">
        <f>IF(COUNT(B26:D26)=0, "H", IF(COUNT(B27:D27)=0, "V", IF(MAX(B26:D26) &gt;= MAX(B27:D27), "V", "H")))</f>
        <v>H</v>
      </c>
      <c r="H26" s="153">
        <f>MAX(B26:D27)</f>
        <v>0</v>
      </c>
      <c r="I26" s="307">
        <v>-30</v>
      </c>
      <c r="J26" s="111" t="str">
        <f t="shared" ref="J26" si="0">IF(OR(I26-H26&gt;10,I26-H26=-30),"No Peak Found",I26-H26)</f>
        <v>No Peak Found</v>
      </c>
      <c r="K26" s="312" t="s">
        <v>8</v>
      </c>
      <c r="L26" s="301" t="str">
        <f>IF(OR(COUNTIF(B26:D27, "-")+COUNTBLANK(B26:D27)=6), "Pass", IF(H26 &gt; I26, "Fail", IF(J26 &lt; 3, "Margin 부족", "Pass")))</f>
        <v>Pass</v>
      </c>
      <c r="M26" s="38" t="s">
        <v>10</v>
      </c>
    </row>
    <row r="27" spans="1:16" ht="21.9" customHeight="1" x14ac:dyDescent="0.4">
      <c r="A27" s="108"/>
      <c r="B27" s="4"/>
      <c r="C27" s="4"/>
      <c r="D27" s="4"/>
      <c r="E27" s="13" t="s">
        <v>0</v>
      </c>
      <c r="F27" s="320"/>
      <c r="G27" s="316"/>
      <c r="H27" s="317"/>
      <c r="I27" s="318"/>
      <c r="J27" s="112"/>
      <c r="K27" s="313"/>
      <c r="L27" s="302"/>
      <c r="M27" s="107"/>
    </row>
    <row r="28" spans="1:16" ht="21.9" customHeight="1" x14ac:dyDescent="0.4">
      <c r="A28" s="102">
        <f>I7*4</f>
        <v>0</v>
      </c>
      <c r="B28" s="4"/>
      <c r="C28" s="4"/>
      <c r="D28" s="4"/>
      <c r="E28" s="13" t="s">
        <v>1</v>
      </c>
      <c r="F28" s="314">
        <f>$A$28</f>
        <v>0</v>
      </c>
      <c r="G28" s="152" t="str">
        <f>IF(COUNT(B28:D28)=0, "H", IF(COUNT(B29:D29)=0, "V", IF(MAX(B28:D28) &gt;= MAX(B29:D29), "V", "H")))</f>
        <v>H</v>
      </c>
      <c r="H28" s="153">
        <f>MAX(B28:D29)</f>
        <v>0</v>
      </c>
      <c r="I28" s="307">
        <v>-30</v>
      </c>
      <c r="J28" s="111" t="str">
        <f t="shared" ref="J28" si="1">IF(OR(I28-H28&gt;10,I28-H28=-30),"No Peak Found",I28-H28)</f>
        <v>No Peak Found</v>
      </c>
      <c r="K28" s="309" t="s">
        <v>8</v>
      </c>
      <c r="L28" s="301" t="str">
        <f>IF(OR(COUNTIF(B28:D29, "-")+COUNTBLANK(B28:D29)=6), "Pass", IF(H28 &gt; I28, "Fail", IF(J28 &lt; 3, "Margin 부족", "Pass")))</f>
        <v>Pass</v>
      </c>
      <c r="M28" s="38" t="s">
        <v>10</v>
      </c>
    </row>
    <row r="29" spans="1:16" ht="21.9" customHeight="1" x14ac:dyDescent="0.4">
      <c r="A29" s="108"/>
      <c r="B29" s="4"/>
      <c r="C29" s="4"/>
      <c r="D29" s="4"/>
      <c r="E29" s="13" t="s">
        <v>0</v>
      </c>
      <c r="F29" s="315"/>
      <c r="G29" s="316"/>
      <c r="H29" s="317"/>
      <c r="I29" s="318"/>
      <c r="J29" s="112"/>
      <c r="K29" s="319"/>
      <c r="L29" s="302"/>
      <c r="M29" s="107"/>
      <c r="N29" s="8" t="s">
        <v>7</v>
      </c>
    </row>
    <row r="30" spans="1:16" ht="21.9" customHeight="1" x14ac:dyDescent="0.4">
      <c r="A30" s="102">
        <f>I7*5</f>
        <v>0</v>
      </c>
      <c r="B30" s="4"/>
      <c r="C30" s="4"/>
      <c r="D30" s="4"/>
      <c r="E30" s="13" t="s">
        <v>1</v>
      </c>
      <c r="F30" s="303">
        <f>$A$30</f>
        <v>0</v>
      </c>
      <c r="G30" s="152" t="str">
        <f>IF(COUNT(B30:D30)=0, "H", IF(COUNT(B31:D31)=0, "V", IF(MAX(B30:D30) &gt;= MAX(B31:D31), "V", "H")))</f>
        <v>H</v>
      </c>
      <c r="H30" s="153">
        <f>MAX(B30:D31)</f>
        <v>0</v>
      </c>
      <c r="I30" s="307">
        <v>-30</v>
      </c>
      <c r="J30" s="111" t="str">
        <f t="shared" ref="J30" si="2">IF(OR(I30-H30&gt;10,I30-H30=-30),"No Peak Found",I30-H30)</f>
        <v>No Peak Found</v>
      </c>
      <c r="K30" s="309" t="s">
        <v>8</v>
      </c>
      <c r="L30" s="301" t="str">
        <f>IF(OR(COUNTIF(B30:D31, "-")+COUNTBLANK(B30:D31)=6), "Pass", IF(H30 &gt; I30, "Fail", IF(J30 &lt; 3, "Margin 부족", "Pass")))</f>
        <v>Pass</v>
      </c>
      <c r="M30" s="138" t="s">
        <v>10</v>
      </c>
      <c r="N30" s="82" t="str">
        <f>"1. LTE Band : " &amp; VALUE(RIGHT(A7, LEN(A7)-1))</f>
        <v>1. LTE Band : 38</v>
      </c>
      <c r="O30" s="83"/>
      <c r="P30" s="83"/>
    </row>
    <row r="31" spans="1:16" ht="21.9" customHeight="1" thickBot="1" x14ac:dyDescent="0.45">
      <c r="A31" s="103"/>
      <c r="B31" s="9"/>
      <c r="C31" s="9"/>
      <c r="D31" s="9"/>
      <c r="E31" s="14" t="s">
        <v>29</v>
      </c>
      <c r="F31" s="304"/>
      <c r="G31" s="305"/>
      <c r="H31" s="306"/>
      <c r="I31" s="308"/>
      <c r="J31" s="115"/>
      <c r="K31" s="310"/>
      <c r="L31" s="311"/>
      <c r="M31" s="139"/>
      <c r="N31" s="84" t="str">
        <f>"2. The test was performed the " &amp; H7 &amp; " antenna."</f>
        <v>2. The test was performed the  antenna.</v>
      </c>
      <c r="O31" s="85"/>
      <c r="P31" s="85"/>
    </row>
    <row r="32" spans="1:16" ht="24.9" customHeight="1" x14ac:dyDescent="0.4">
      <c r="A32" s="86" t="s">
        <v>13</v>
      </c>
      <c r="B32" s="87"/>
      <c r="C32" s="87"/>
      <c r="D32" s="87"/>
      <c r="E32" s="88"/>
      <c r="F32" s="86" t="s">
        <v>41</v>
      </c>
      <c r="G32" s="90"/>
      <c r="H32" s="90"/>
      <c r="I32" s="90"/>
      <c r="J32" s="90"/>
      <c r="K32" s="90"/>
      <c r="L32" s="90"/>
      <c r="M32" s="91"/>
    </row>
    <row r="33" spans="1:13" ht="24.9" customHeight="1" x14ac:dyDescent="0.4">
      <c r="A33" s="89"/>
      <c r="B33" s="87"/>
      <c r="C33" s="87"/>
      <c r="D33" s="87"/>
      <c r="E33" s="88"/>
      <c r="F33" s="300"/>
      <c r="G33" s="92"/>
      <c r="H33" s="92"/>
      <c r="I33" s="92"/>
      <c r="J33" s="92"/>
      <c r="K33" s="92"/>
      <c r="L33" s="92"/>
      <c r="M33" s="93"/>
    </row>
    <row r="34" spans="1:13" ht="21.9" customHeight="1" thickBot="1" x14ac:dyDescent="0.45">
      <c r="A34" s="94" t="s">
        <v>5</v>
      </c>
      <c r="B34" s="95"/>
      <c r="C34" s="95"/>
      <c r="D34" s="95"/>
      <c r="E34" s="96"/>
      <c r="F34" s="97" t="s">
        <v>5</v>
      </c>
      <c r="G34" s="97"/>
      <c r="H34" s="97"/>
      <c r="I34" s="97"/>
      <c r="J34" s="97"/>
      <c r="K34" s="97"/>
      <c r="L34" s="97"/>
      <c r="M34" s="97"/>
    </row>
    <row r="35" spans="1:13" ht="21.9" customHeight="1" thickTop="1" x14ac:dyDescent="0.4">
      <c r="A35" s="60" t="s">
        <v>44</v>
      </c>
      <c r="B35" s="62" t="s">
        <v>15</v>
      </c>
      <c r="C35" s="62" t="s">
        <v>16</v>
      </c>
      <c r="D35" s="62" t="s">
        <v>17</v>
      </c>
      <c r="E35" s="98" t="s">
        <v>18</v>
      </c>
      <c r="F35" s="60" t="s">
        <v>44</v>
      </c>
      <c r="G35" s="100" t="s">
        <v>18</v>
      </c>
      <c r="H35" s="100" t="s">
        <v>30</v>
      </c>
      <c r="I35" s="72" t="s">
        <v>42</v>
      </c>
      <c r="J35" s="74" t="s">
        <v>43</v>
      </c>
      <c r="K35" s="76" t="s">
        <v>9</v>
      </c>
      <c r="L35" s="78" t="s">
        <v>19</v>
      </c>
      <c r="M35" s="80" t="s">
        <v>7</v>
      </c>
    </row>
    <row r="36" spans="1:13" ht="21.9" customHeight="1" x14ac:dyDescent="0.4">
      <c r="A36" s="61"/>
      <c r="B36" s="63"/>
      <c r="C36" s="63"/>
      <c r="D36" s="63"/>
      <c r="E36" s="99"/>
      <c r="F36" s="61"/>
      <c r="G36" s="101"/>
      <c r="H36" s="101"/>
      <c r="I36" s="73"/>
      <c r="J36" s="75"/>
      <c r="K36" s="77"/>
      <c r="L36" s="79"/>
      <c r="M36" s="81"/>
    </row>
    <row r="37" spans="1:13" ht="21.9" customHeight="1" x14ac:dyDescent="0.4">
      <c r="A37" s="46" t="s">
        <v>27</v>
      </c>
      <c r="B37" s="10"/>
      <c r="C37" s="1"/>
      <c r="D37" s="1"/>
      <c r="E37" s="11" t="s">
        <v>28</v>
      </c>
      <c r="F37" s="48" t="str">
        <f>A37</f>
        <v>Spurious</v>
      </c>
      <c r="G37" s="298" t="str">
        <f>IF(COUNT(B37:D37)=0, "H", IF(COUNT(B38:D38)=0, "V", IF(MAX(B37:D37) &gt;= MAX(B38:D38), "V", "H")))</f>
        <v>H</v>
      </c>
      <c r="H37" s="52">
        <f>MAX(B37:D38)</f>
        <v>0</v>
      </c>
      <c r="I37" s="54">
        <v>-57</v>
      </c>
      <c r="J37" s="64" t="str">
        <f>IF(OR(I37-H37&gt;10,I37-H37=-57),"No Peak Found",I37-H37)</f>
        <v>No Peak Found</v>
      </c>
      <c r="K37" s="66" t="s">
        <v>8</v>
      </c>
      <c r="L37" s="68" t="str">
        <f>IF(OR(COUNTIF(B37:D38, "-")+COUNTBLANK(B37:D38)=6), "Pass", IF(H37 &gt; I37, "Fail", IF(J37 &lt; 3, "Margin 부족", "Pass")))</f>
        <v>Pass</v>
      </c>
      <c r="M37" s="70" t="s">
        <v>11</v>
      </c>
    </row>
    <row r="38" spans="1:13" ht="21.9" customHeight="1" thickBot="1" x14ac:dyDescent="0.45">
      <c r="A38" s="47"/>
      <c r="B38" s="2"/>
      <c r="C38" s="2"/>
      <c r="D38" s="2"/>
      <c r="E38" s="12" t="s">
        <v>29</v>
      </c>
      <c r="F38" s="49"/>
      <c r="G38" s="299"/>
      <c r="H38" s="53"/>
      <c r="I38" s="55"/>
      <c r="J38" s="65"/>
      <c r="K38" s="67"/>
      <c r="L38" s="69"/>
      <c r="M38" s="71"/>
    </row>
    <row r="39" spans="1:13" ht="21.9" customHeight="1" thickBot="1" x14ac:dyDescent="0.45">
      <c r="A39" s="56" t="s">
        <v>34</v>
      </c>
      <c r="B39" s="57"/>
      <c r="C39" s="57"/>
      <c r="D39" s="57"/>
      <c r="E39" s="58"/>
      <c r="F39" s="59" t="s">
        <v>34</v>
      </c>
      <c r="G39" s="59"/>
      <c r="H39" s="59"/>
      <c r="I39" s="59"/>
      <c r="J39" s="59"/>
      <c r="K39" s="59"/>
      <c r="L39" s="59"/>
      <c r="M39" s="59"/>
    </row>
    <row r="40" spans="1:13" ht="21.9" customHeight="1" thickTop="1" x14ac:dyDescent="0.4">
      <c r="A40" s="60" t="s">
        <v>44</v>
      </c>
      <c r="B40" s="62" t="s">
        <v>15</v>
      </c>
      <c r="C40" s="62" t="s">
        <v>16</v>
      </c>
      <c r="D40" s="62" t="s">
        <v>17</v>
      </c>
      <c r="E40" s="98" t="s">
        <v>18</v>
      </c>
      <c r="F40" s="60" t="s">
        <v>44</v>
      </c>
      <c r="G40" s="100" t="s">
        <v>18</v>
      </c>
      <c r="H40" s="100" t="s">
        <v>30</v>
      </c>
      <c r="I40" s="72" t="s">
        <v>42</v>
      </c>
      <c r="J40" s="74" t="s">
        <v>43</v>
      </c>
      <c r="K40" s="76" t="s">
        <v>9</v>
      </c>
      <c r="L40" s="78" t="s">
        <v>19</v>
      </c>
      <c r="M40" s="80" t="s">
        <v>7</v>
      </c>
    </row>
    <row r="41" spans="1:13" ht="21.9" customHeight="1" x14ac:dyDescent="0.4">
      <c r="A41" s="61"/>
      <c r="B41" s="63"/>
      <c r="C41" s="63"/>
      <c r="D41" s="63"/>
      <c r="E41" s="99"/>
      <c r="F41" s="61"/>
      <c r="G41" s="101"/>
      <c r="H41" s="101"/>
      <c r="I41" s="73"/>
      <c r="J41" s="75"/>
      <c r="K41" s="77"/>
      <c r="L41" s="79"/>
      <c r="M41" s="81"/>
    </row>
    <row r="42" spans="1:13" ht="21.9" customHeight="1" x14ac:dyDescent="0.4">
      <c r="A42" s="46" t="s">
        <v>27</v>
      </c>
      <c r="B42" s="10"/>
      <c r="C42" s="1"/>
      <c r="D42" s="1"/>
      <c r="E42" s="11" t="s">
        <v>28</v>
      </c>
      <c r="F42" s="48" t="str">
        <f>A42</f>
        <v>Spurious</v>
      </c>
      <c r="G42" s="298" t="str">
        <f>IF(COUNT(B42:D42)=0, "H", IF(COUNT(B43:D43)=0, "V", IF(MAX(B42:D42) &gt;= MAX(B43:D43), "V", "H")))</f>
        <v>H</v>
      </c>
      <c r="H42" s="52">
        <f>MAX(B42:D43)</f>
        <v>0</v>
      </c>
      <c r="I42" s="54">
        <v>-47</v>
      </c>
      <c r="J42" s="64" t="str">
        <f>IF(OR(I42-H42&gt;10,I42-H42=-47),"No Peak Found",I42-H42)</f>
        <v>No Peak Found</v>
      </c>
      <c r="K42" s="66" t="s">
        <v>8</v>
      </c>
      <c r="L42" s="68" t="str">
        <f>IF(OR(COUNTIF(B42:D43, "-")+COUNTBLANK(B42:D43)=6), "Pass", IF(H42 &gt; I42, "Fail", IF(J42 &lt; 3, "Margin 부족", "Pass")))</f>
        <v>Pass</v>
      </c>
      <c r="M42" s="70" t="s">
        <v>11</v>
      </c>
    </row>
    <row r="43" spans="1:13" ht="21.9" customHeight="1" thickBot="1" x14ac:dyDescent="0.45">
      <c r="A43" s="47"/>
      <c r="B43" s="2"/>
      <c r="C43" s="2"/>
      <c r="D43" s="2"/>
      <c r="E43" s="12" t="s">
        <v>29</v>
      </c>
      <c r="F43" s="49"/>
      <c r="G43" s="299"/>
      <c r="H43" s="53"/>
      <c r="I43" s="55"/>
      <c r="J43" s="65"/>
      <c r="K43" s="67"/>
      <c r="L43" s="69"/>
      <c r="M43" s="71"/>
    </row>
    <row r="44" spans="1:13" ht="21.9" customHeight="1" x14ac:dyDescent="0.4"/>
  </sheetData>
  <mergeCells count="177">
    <mergeCell ref="B1:D1"/>
    <mergeCell ref="E1:F2"/>
    <mergeCell ref="G1:M1"/>
    <mergeCell ref="B2:D2"/>
    <mergeCell ref="G2:M2"/>
    <mergeCell ref="A3:M4"/>
    <mergeCell ref="H7:H8"/>
    <mergeCell ref="I7:M8"/>
    <mergeCell ref="A9:E10"/>
    <mergeCell ref="F9:M10"/>
    <mergeCell ref="A11:E11"/>
    <mergeCell ref="F11:M11"/>
    <mergeCell ref="G5:G6"/>
    <mergeCell ref="H5:H6"/>
    <mergeCell ref="I5:M6"/>
    <mergeCell ref="A7:A8"/>
    <mergeCell ref="B7:B8"/>
    <mergeCell ref="C7:C8"/>
    <mergeCell ref="D7:D8"/>
    <mergeCell ref="E7:E8"/>
    <mergeCell ref="F7:F8"/>
    <mergeCell ref="G7:G8"/>
    <mergeCell ref="A5:A6"/>
    <mergeCell ref="B5:B6"/>
    <mergeCell ref="C5:C6"/>
    <mergeCell ref="D5:D6"/>
    <mergeCell ref="E5:E6"/>
    <mergeCell ref="F5:F6"/>
    <mergeCell ref="J12:J13"/>
    <mergeCell ref="K12:K13"/>
    <mergeCell ref="L12:L13"/>
    <mergeCell ref="M12:M13"/>
    <mergeCell ref="A12:A13"/>
    <mergeCell ref="B12:B13"/>
    <mergeCell ref="C12:C13"/>
    <mergeCell ref="D12:D13"/>
    <mergeCell ref="E12:E13"/>
    <mergeCell ref="F12:F13"/>
    <mergeCell ref="G12:G13"/>
    <mergeCell ref="H12:H13"/>
    <mergeCell ref="I12:I13"/>
    <mergeCell ref="A16:E16"/>
    <mergeCell ref="F16:M16"/>
    <mergeCell ref="A17:A18"/>
    <mergeCell ref="B17:B18"/>
    <mergeCell ref="C17:C18"/>
    <mergeCell ref="D17:D18"/>
    <mergeCell ref="E17:E18"/>
    <mergeCell ref="F17:F18"/>
    <mergeCell ref="K14:K15"/>
    <mergeCell ref="L14:L15"/>
    <mergeCell ref="M14:M15"/>
    <mergeCell ref="A14:A15"/>
    <mergeCell ref="F14:F15"/>
    <mergeCell ref="G14:G15"/>
    <mergeCell ref="H14:H15"/>
    <mergeCell ref="I14:I15"/>
    <mergeCell ref="J14:J15"/>
    <mergeCell ref="J19:J20"/>
    <mergeCell ref="K19:K20"/>
    <mergeCell ref="L19:L20"/>
    <mergeCell ref="M19:M20"/>
    <mergeCell ref="M17:M18"/>
    <mergeCell ref="A19:A20"/>
    <mergeCell ref="F19:F20"/>
    <mergeCell ref="G19:G20"/>
    <mergeCell ref="H19:H20"/>
    <mergeCell ref="I19:I20"/>
    <mergeCell ref="G17:G18"/>
    <mergeCell ref="H17:H18"/>
    <mergeCell ref="I17:I18"/>
    <mergeCell ref="J17:J18"/>
    <mergeCell ref="K17:K18"/>
    <mergeCell ref="L17:L18"/>
    <mergeCell ref="A21:E21"/>
    <mergeCell ref="F21:M21"/>
    <mergeCell ref="A22:A23"/>
    <mergeCell ref="B22:B23"/>
    <mergeCell ref="C22:C23"/>
    <mergeCell ref="D22:D23"/>
    <mergeCell ref="E22:E23"/>
    <mergeCell ref="F22:F23"/>
    <mergeCell ref="G22:G23"/>
    <mergeCell ref="H22:H23"/>
    <mergeCell ref="I22:I23"/>
    <mergeCell ref="J22:J23"/>
    <mergeCell ref="K22:K23"/>
    <mergeCell ref="L22:L23"/>
    <mergeCell ref="M22:M23"/>
    <mergeCell ref="A24:A25"/>
    <mergeCell ref="F24:F25"/>
    <mergeCell ref="G24:G25"/>
    <mergeCell ref="H24:H25"/>
    <mergeCell ref="I24:I25"/>
    <mergeCell ref="J24:J25"/>
    <mergeCell ref="K24:K25"/>
    <mergeCell ref="L24:L25"/>
    <mergeCell ref="M24:M25"/>
    <mergeCell ref="N30:P30"/>
    <mergeCell ref="N31:P31"/>
    <mergeCell ref="A26:A27"/>
    <mergeCell ref="F26:F27"/>
    <mergeCell ref="G26:G27"/>
    <mergeCell ref="H26:H27"/>
    <mergeCell ref="I26:I27"/>
    <mergeCell ref="J26:J27"/>
    <mergeCell ref="K26:K27"/>
    <mergeCell ref="L26:L27"/>
    <mergeCell ref="M26:M27"/>
    <mergeCell ref="A32:E33"/>
    <mergeCell ref="F32:M33"/>
    <mergeCell ref="A34:E34"/>
    <mergeCell ref="F34:M34"/>
    <mergeCell ref="L28:L29"/>
    <mergeCell ref="M28:M29"/>
    <mergeCell ref="A30:A31"/>
    <mergeCell ref="F30:F31"/>
    <mergeCell ref="G30:G31"/>
    <mergeCell ref="H30:H31"/>
    <mergeCell ref="I30:I31"/>
    <mergeCell ref="J30:J31"/>
    <mergeCell ref="K30:K31"/>
    <mergeCell ref="L30:L31"/>
    <mergeCell ref="A28:A29"/>
    <mergeCell ref="F28:F29"/>
    <mergeCell ref="G28:G29"/>
    <mergeCell ref="H28:H29"/>
    <mergeCell ref="I28:I29"/>
    <mergeCell ref="J28:J29"/>
    <mergeCell ref="K28:K29"/>
    <mergeCell ref="M30:M31"/>
    <mergeCell ref="M35:M36"/>
    <mergeCell ref="A37:A38"/>
    <mergeCell ref="F37:F38"/>
    <mergeCell ref="G37:G38"/>
    <mergeCell ref="H37:H38"/>
    <mergeCell ref="I37:I38"/>
    <mergeCell ref="J37:J38"/>
    <mergeCell ref="K37:K38"/>
    <mergeCell ref="L37:L38"/>
    <mergeCell ref="M37:M38"/>
    <mergeCell ref="G35:G36"/>
    <mergeCell ref="H35:H36"/>
    <mergeCell ref="I35:I36"/>
    <mergeCell ref="J35:J36"/>
    <mergeCell ref="K35:K36"/>
    <mergeCell ref="L35:L36"/>
    <mergeCell ref="A35:A36"/>
    <mergeCell ref="B35:B36"/>
    <mergeCell ref="C35:C36"/>
    <mergeCell ref="D35:D36"/>
    <mergeCell ref="E35:E36"/>
    <mergeCell ref="F35:F36"/>
    <mergeCell ref="A42:A43"/>
    <mergeCell ref="F42:F43"/>
    <mergeCell ref="G42:G43"/>
    <mergeCell ref="H42:H43"/>
    <mergeCell ref="I42:I43"/>
    <mergeCell ref="A39:E39"/>
    <mergeCell ref="F39:M39"/>
    <mergeCell ref="A40:A41"/>
    <mergeCell ref="B40:B41"/>
    <mergeCell ref="C40:C41"/>
    <mergeCell ref="D40:D41"/>
    <mergeCell ref="E40:E41"/>
    <mergeCell ref="F40:F41"/>
    <mergeCell ref="G40:G41"/>
    <mergeCell ref="H40:H41"/>
    <mergeCell ref="J42:J43"/>
    <mergeCell ref="K42:K43"/>
    <mergeCell ref="L42:L43"/>
    <mergeCell ref="M42:M43"/>
    <mergeCell ref="I40:I41"/>
    <mergeCell ref="J40:J41"/>
    <mergeCell ref="K40:K41"/>
    <mergeCell ref="L40:L41"/>
    <mergeCell ref="M40:M41"/>
  </mergeCells>
  <phoneticPr fontId="1" type="noConversion"/>
  <conditionalFormatting sqref="J14 J19">
    <cfRule type="cellIs" dxfId="86" priority="35" operator="lessThan">
      <formula>10</formula>
    </cfRule>
  </conditionalFormatting>
  <conditionalFormatting sqref="J14">
    <cfRule type="cellIs" dxfId="85" priority="34" operator="equal">
      <formula>-36</formula>
    </cfRule>
  </conditionalFormatting>
  <conditionalFormatting sqref="L14 L19">
    <cfRule type="cellIs" dxfId="84" priority="33" operator="equal">
      <formula>"Fail"</formula>
    </cfRule>
  </conditionalFormatting>
  <conditionalFormatting sqref="L24">
    <cfRule type="cellIs" dxfId="83" priority="30" operator="equal">
      <formula>"Fail"</formula>
    </cfRule>
  </conditionalFormatting>
  <conditionalFormatting sqref="L26">
    <cfRule type="cellIs" dxfId="82" priority="29" operator="equal">
      <formula>"Fail"</formula>
    </cfRule>
  </conditionalFormatting>
  <conditionalFormatting sqref="L28">
    <cfRule type="cellIs" dxfId="81" priority="28" operator="equal">
      <formula>"Fail"</formula>
    </cfRule>
  </conditionalFormatting>
  <conditionalFormatting sqref="L30">
    <cfRule type="cellIs" dxfId="80" priority="27" operator="equal">
      <formula>"Fail"</formula>
    </cfRule>
  </conditionalFormatting>
  <conditionalFormatting sqref="V33">
    <cfRule type="cellIs" dxfId="79" priority="26" operator="equal">
      <formula>"Fail"</formula>
    </cfRule>
  </conditionalFormatting>
  <conditionalFormatting sqref="L14:L15 L19:L20 L24:L31">
    <cfRule type="cellIs" dxfId="78" priority="25" operator="equal">
      <formula>"Pass"</formula>
    </cfRule>
  </conditionalFormatting>
  <conditionalFormatting sqref="L37">
    <cfRule type="cellIs" dxfId="77" priority="24" operator="equal">
      <formula>"Fail"</formula>
    </cfRule>
  </conditionalFormatting>
  <conditionalFormatting sqref="L37:L38">
    <cfRule type="cellIs" dxfId="76" priority="23" operator="equal">
      <formula>"Pass"</formula>
    </cfRule>
  </conditionalFormatting>
  <conditionalFormatting sqref="L42">
    <cfRule type="cellIs" dxfId="75" priority="22" operator="equal">
      <formula>"Fail"</formula>
    </cfRule>
  </conditionalFormatting>
  <conditionalFormatting sqref="L42:L43">
    <cfRule type="cellIs" dxfId="74" priority="21" operator="equal">
      <formula>"Pass"</formula>
    </cfRule>
  </conditionalFormatting>
  <conditionalFormatting sqref="B14:D15">
    <cfRule type="top10" dxfId="73" priority="14" rank="1"/>
  </conditionalFormatting>
  <conditionalFormatting sqref="B19:D20">
    <cfRule type="top10" dxfId="72" priority="13" rank="1"/>
  </conditionalFormatting>
  <conditionalFormatting sqref="B24:D25">
    <cfRule type="top10" dxfId="71" priority="12" rank="1"/>
  </conditionalFormatting>
  <conditionalFormatting sqref="B26:D27">
    <cfRule type="top10" dxfId="70" priority="11" rank="1"/>
  </conditionalFormatting>
  <conditionalFormatting sqref="B28:D29">
    <cfRule type="top10" dxfId="69" priority="10" rank="1"/>
  </conditionalFormatting>
  <conditionalFormatting sqref="B30:D31">
    <cfRule type="top10" dxfId="68" priority="9" rank="1"/>
  </conditionalFormatting>
  <conditionalFormatting sqref="J24 J26 J28 J30">
    <cfRule type="expression" dxfId="67" priority="1">
      <formula>J24=-30</formula>
    </cfRule>
    <cfRule type="expression" dxfId="66" priority="2">
      <formula>AND(J24&lt;&gt;-30,J24&lt;=3)</formula>
    </cfRule>
    <cfRule type="expression" dxfId="65" priority="3">
      <formula>AND(J24&gt;3,J24&lt;10)</formula>
    </cfRule>
  </conditionalFormatting>
  <dataValidations disablePrompts="1" count="1">
    <dataValidation type="list" allowBlank="1" showInputMessage="1" showErrorMessage="1" sqref="M14 M19 M30 M24 M26 M28 M42:M43 M37:M38" xr:uid="{5D4AD905-5C90-4D88-A6B9-B6F1576413AA}">
      <formula1>"Fundamental, Harmonic, Noise Floor, -"</formula1>
    </dataValidation>
  </dataValidations>
  <pageMargins left="0.7" right="0.7" top="0.75" bottom="0.75" header="0.3" footer="0.3"/>
  <pageSetup paperSize="9" scale="27" orientation="portrait" r:id="rId1"/>
  <colBreaks count="1" manualBreakCount="1">
    <brk id="13" max="42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A5DE2F-74B2-4BEE-8094-9A1F8AF8E514}">
  <dimension ref="A1:P44"/>
  <sheetViews>
    <sheetView view="pageBreakPreview" zoomScale="85" zoomScaleNormal="100" zoomScaleSheetLayoutView="85" workbookViewId="0"/>
  </sheetViews>
  <sheetFormatPr defaultRowHeight="17.399999999999999" outlineLevelCol="1" x14ac:dyDescent="0.4"/>
  <cols>
    <col min="1" max="11" width="12.59765625" style="6" customWidth="1"/>
    <col min="12" max="13" width="12.59765625" style="6" hidden="1" customWidth="1" outlineLevel="1"/>
    <col min="14" max="14" width="12.59765625" style="6" customWidth="1" collapsed="1"/>
    <col min="15" max="16" width="12.59765625" style="6" customWidth="1"/>
    <col min="17" max="22" width="12.59765625" customWidth="1"/>
  </cols>
  <sheetData>
    <row r="1" spans="1:13" ht="20.100000000000001" customHeight="1" x14ac:dyDescent="0.4">
      <c r="A1" s="5" t="s">
        <v>14</v>
      </c>
      <c r="B1" s="188"/>
      <c r="C1" s="189"/>
      <c r="D1" s="190"/>
      <c r="E1" s="191" t="s">
        <v>35</v>
      </c>
      <c r="F1" s="192"/>
      <c r="G1" s="188" t="s">
        <v>36</v>
      </c>
      <c r="H1" s="189"/>
      <c r="I1" s="189"/>
      <c r="J1" s="189"/>
      <c r="K1" s="189"/>
      <c r="L1" s="189"/>
      <c r="M1" s="190"/>
    </row>
    <row r="2" spans="1:13" ht="20.100000000000001" customHeight="1" thickBot="1" x14ac:dyDescent="0.45">
      <c r="A2" s="18" t="s">
        <v>47</v>
      </c>
      <c r="B2" s="195"/>
      <c r="C2" s="196"/>
      <c r="D2" s="197"/>
      <c r="E2" s="193"/>
      <c r="F2" s="194"/>
      <c r="G2" s="195" t="s">
        <v>45</v>
      </c>
      <c r="H2" s="196"/>
      <c r="I2" s="196"/>
      <c r="J2" s="196"/>
      <c r="K2" s="196"/>
      <c r="L2" s="196"/>
      <c r="M2" s="197"/>
    </row>
    <row r="3" spans="1:13" ht="24.9" customHeight="1" x14ac:dyDescent="0.4">
      <c r="A3" s="198" t="s">
        <v>48</v>
      </c>
      <c r="B3" s="199"/>
      <c r="C3" s="199"/>
      <c r="D3" s="199"/>
      <c r="E3" s="199"/>
      <c r="F3" s="199"/>
      <c r="G3" s="199"/>
      <c r="H3" s="199"/>
      <c r="I3" s="199"/>
      <c r="J3" s="199"/>
      <c r="K3" s="199"/>
      <c r="L3" s="199"/>
      <c r="M3" s="200"/>
    </row>
    <row r="4" spans="1:13" ht="24.9" customHeight="1" thickBot="1" x14ac:dyDescent="0.45">
      <c r="A4" s="201"/>
      <c r="B4" s="202"/>
      <c r="C4" s="202"/>
      <c r="D4" s="202"/>
      <c r="E4" s="202"/>
      <c r="F4" s="202"/>
      <c r="G4" s="202"/>
      <c r="H4" s="202"/>
      <c r="I4" s="202"/>
      <c r="J4" s="202"/>
      <c r="K4" s="202"/>
      <c r="L4" s="202"/>
      <c r="M4" s="203"/>
    </row>
    <row r="5" spans="1:13" ht="24.9" customHeight="1" x14ac:dyDescent="0.4">
      <c r="A5" s="186" t="s">
        <v>20</v>
      </c>
      <c r="B5" s="278" t="s">
        <v>23</v>
      </c>
      <c r="C5" s="274" t="s">
        <v>25</v>
      </c>
      <c r="D5" s="274" t="s">
        <v>21</v>
      </c>
      <c r="E5" s="274" t="s">
        <v>22</v>
      </c>
      <c r="F5" s="274" t="s">
        <v>26</v>
      </c>
      <c r="G5" s="272" t="s">
        <v>38</v>
      </c>
      <c r="H5" s="274" t="s">
        <v>37</v>
      </c>
      <c r="I5" s="281" t="s">
        <v>39</v>
      </c>
      <c r="J5" s="207"/>
      <c r="K5" s="207"/>
      <c r="L5" s="207"/>
      <c r="M5" s="282"/>
    </row>
    <row r="6" spans="1:13" ht="20.100000000000001" customHeight="1" x14ac:dyDescent="0.4">
      <c r="A6" s="187"/>
      <c r="B6" s="279"/>
      <c r="C6" s="275"/>
      <c r="D6" s="275"/>
      <c r="E6" s="275"/>
      <c r="F6" s="275"/>
      <c r="G6" s="273"/>
      <c r="H6" s="275"/>
      <c r="I6" s="283"/>
      <c r="J6" s="284"/>
      <c r="K6" s="284"/>
      <c r="L6" s="284"/>
      <c r="M6" s="285"/>
    </row>
    <row r="7" spans="1:13" ht="20.100000000000001" customHeight="1" x14ac:dyDescent="0.4">
      <c r="A7" s="204" t="s">
        <v>63</v>
      </c>
      <c r="B7" s="276"/>
      <c r="C7" s="264"/>
      <c r="D7" s="264"/>
      <c r="E7" s="263"/>
      <c r="F7" s="263"/>
      <c r="G7" s="263">
        <v>15</v>
      </c>
      <c r="H7" s="264"/>
      <c r="I7" s="286"/>
      <c r="J7" s="287"/>
      <c r="K7" s="287"/>
      <c r="L7" s="287"/>
      <c r="M7" s="288"/>
    </row>
    <row r="8" spans="1:13" ht="20.100000000000001" customHeight="1" thickBot="1" x14ac:dyDescent="0.45">
      <c r="A8" s="205"/>
      <c r="B8" s="277"/>
      <c r="C8" s="265"/>
      <c r="D8" s="265"/>
      <c r="E8" s="264"/>
      <c r="F8" s="264"/>
      <c r="G8" s="264"/>
      <c r="H8" s="265"/>
      <c r="I8" s="289"/>
      <c r="J8" s="290"/>
      <c r="K8" s="290"/>
      <c r="L8" s="290"/>
      <c r="M8" s="291"/>
    </row>
    <row r="9" spans="1:13" ht="24.9" customHeight="1" x14ac:dyDescent="0.4">
      <c r="A9" s="266" t="s">
        <v>12</v>
      </c>
      <c r="B9" s="267"/>
      <c r="C9" s="267"/>
      <c r="D9" s="267"/>
      <c r="E9" s="268"/>
      <c r="F9" s="271" t="s">
        <v>40</v>
      </c>
      <c r="G9" s="267"/>
      <c r="H9" s="267"/>
      <c r="I9" s="267"/>
      <c r="J9" s="267"/>
      <c r="K9" s="267"/>
      <c r="L9" s="267"/>
      <c r="M9" s="268"/>
    </row>
    <row r="10" spans="1:13" ht="24.9" customHeight="1" x14ac:dyDescent="0.4">
      <c r="A10" s="269"/>
      <c r="B10" s="177"/>
      <c r="C10" s="177"/>
      <c r="D10" s="177"/>
      <c r="E10" s="270"/>
      <c r="F10" s="177"/>
      <c r="G10" s="177"/>
      <c r="H10" s="177"/>
      <c r="I10" s="177"/>
      <c r="J10" s="177"/>
      <c r="K10" s="177"/>
      <c r="L10" s="177"/>
      <c r="M10" s="270"/>
    </row>
    <row r="11" spans="1:13" ht="21.9" customHeight="1" thickBot="1" x14ac:dyDescent="0.45">
      <c r="A11" s="280" t="s">
        <v>6</v>
      </c>
      <c r="B11" s="256"/>
      <c r="C11" s="256"/>
      <c r="D11" s="256"/>
      <c r="E11" s="258"/>
      <c r="F11" s="256" t="str">
        <f>A11</f>
        <v>30M-1G</v>
      </c>
      <c r="G11" s="256"/>
      <c r="H11" s="256"/>
      <c r="I11" s="256"/>
      <c r="J11" s="59"/>
      <c r="K11" s="256"/>
      <c r="L11" s="256"/>
      <c r="M11" s="258"/>
    </row>
    <row r="12" spans="1:13" ht="21.9" customHeight="1" thickTop="1" x14ac:dyDescent="0.4">
      <c r="A12" s="60" t="s">
        <v>44</v>
      </c>
      <c r="B12" s="62" t="s">
        <v>4</v>
      </c>
      <c r="C12" s="62" t="s">
        <v>16</v>
      </c>
      <c r="D12" s="62" t="s">
        <v>3</v>
      </c>
      <c r="E12" s="98" t="s">
        <v>2</v>
      </c>
      <c r="F12" s="60" t="s">
        <v>44</v>
      </c>
      <c r="G12" s="100" t="s">
        <v>18</v>
      </c>
      <c r="H12" s="100" t="s">
        <v>30</v>
      </c>
      <c r="I12" s="72" t="s">
        <v>42</v>
      </c>
      <c r="J12" s="74" t="s">
        <v>43</v>
      </c>
      <c r="K12" s="146" t="s">
        <v>9</v>
      </c>
      <c r="L12" s="78" t="s">
        <v>19</v>
      </c>
      <c r="M12" s="80" t="s">
        <v>7</v>
      </c>
    </row>
    <row r="13" spans="1:13" ht="21.9" customHeight="1" x14ac:dyDescent="0.4">
      <c r="A13" s="61"/>
      <c r="B13" s="63"/>
      <c r="C13" s="63"/>
      <c r="D13" s="63"/>
      <c r="E13" s="99"/>
      <c r="F13" s="61"/>
      <c r="G13" s="101"/>
      <c r="H13" s="101"/>
      <c r="I13" s="73"/>
      <c r="J13" s="75"/>
      <c r="K13" s="147"/>
      <c r="L13" s="79"/>
      <c r="M13" s="81"/>
    </row>
    <row r="14" spans="1:13" ht="21.9" customHeight="1" x14ac:dyDescent="0.4">
      <c r="A14" s="159" t="s">
        <v>27</v>
      </c>
      <c r="B14" s="3"/>
      <c r="C14" s="3"/>
      <c r="D14" s="3"/>
      <c r="E14" s="11" t="s">
        <v>28</v>
      </c>
      <c r="F14" s="161" t="str">
        <f>A14</f>
        <v>Spurious</v>
      </c>
      <c r="G14" s="42" t="str">
        <f>IF(COUNT(B14:D14)=0, "H", IF(COUNT(B15:D15)=0, "V", IF(MAX(B14:D14) &gt;= MAX(B15:D15), "V", "H")))</f>
        <v>H</v>
      </c>
      <c r="H14" s="44">
        <f>MAX(B14:D15)</f>
        <v>0</v>
      </c>
      <c r="I14" s="120">
        <v>-36</v>
      </c>
      <c r="J14" s="134" t="str">
        <f>IF(OR(I14-H14&gt;10,I14-H14=-36),"No Peak Found",I14-H14)</f>
        <v>No Peak Found</v>
      </c>
      <c r="K14" s="136" t="s">
        <v>8</v>
      </c>
      <c r="L14" s="68" t="str">
        <f>IF(OR(COUNTIF(B14:D15, "-")+COUNTBLANK(B14:D15)=6), "Pass", IF(H14 &gt; I14, "Fail", IF(J14 &lt; 3, "Margin 부족", "Pass")))</f>
        <v>Pass</v>
      </c>
      <c r="M14" s="138" t="s">
        <v>11</v>
      </c>
    </row>
    <row r="15" spans="1:13" ht="21.9" customHeight="1" thickBot="1" x14ac:dyDescent="0.45">
      <c r="A15" s="160"/>
      <c r="B15" s="7"/>
      <c r="C15" s="7"/>
      <c r="D15" s="7"/>
      <c r="E15" s="12" t="s">
        <v>29</v>
      </c>
      <c r="F15" s="162"/>
      <c r="G15" s="163"/>
      <c r="H15" s="164"/>
      <c r="I15" s="165"/>
      <c r="J15" s="135"/>
      <c r="K15" s="166"/>
      <c r="L15" s="69"/>
      <c r="M15" s="167"/>
    </row>
    <row r="16" spans="1:13" ht="21.9" customHeight="1" thickBot="1" x14ac:dyDescent="0.45">
      <c r="A16" s="155" t="s">
        <v>32</v>
      </c>
      <c r="B16" s="156"/>
      <c r="C16" s="156"/>
      <c r="D16" s="156"/>
      <c r="E16" s="157"/>
      <c r="F16" s="156" t="str">
        <f>A16</f>
        <v>1 - 3G</v>
      </c>
      <c r="G16" s="156"/>
      <c r="H16" s="156"/>
      <c r="I16" s="156"/>
      <c r="J16" s="59"/>
      <c r="K16" s="156"/>
      <c r="L16" s="156"/>
      <c r="M16" s="156"/>
    </row>
    <row r="17" spans="1:16" ht="21.9" customHeight="1" thickTop="1" x14ac:dyDescent="0.4">
      <c r="A17" s="60" t="s">
        <v>44</v>
      </c>
      <c r="B17" s="62" t="s">
        <v>15</v>
      </c>
      <c r="C17" s="62" t="s">
        <v>16</v>
      </c>
      <c r="D17" s="62" t="s">
        <v>17</v>
      </c>
      <c r="E17" s="98" t="s">
        <v>18</v>
      </c>
      <c r="F17" s="60" t="s">
        <v>44</v>
      </c>
      <c r="G17" s="100" t="s">
        <v>18</v>
      </c>
      <c r="H17" s="100" t="s">
        <v>30</v>
      </c>
      <c r="I17" s="72" t="s">
        <v>42</v>
      </c>
      <c r="J17" s="74" t="s">
        <v>43</v>
      </c>
      <c r="K17" s="146" t="s">
        <v>9</v>
      </c>
      <c r="L17" s="78" t="s">
        <v>19</v>
      </c>
      <c r="M17" s="80" t="s">
        <v>7</v>
      </c>
    </row>
    <row r="18" spans="1:16" ht="21.9" customHeight="1" x14ac:dyDescent="0.4">
      <c r="A18" s="61"/>
      <c r="B18" s="63"/>
      <c r="C18" s="63"/>
      <c r="D18" s="63"/>
      <c r="E18" s="99"/>
      <c r="F18" s="61"/>
      <c r="G18" s="101"/>
      <c r="H18" s="101"/>
      <c r="I18" s="73"/>
      <c r="J18" s="75"/>
      <c r="K18" s="147"/>
      <c r="L18" s="79"/>
      <c r="M18" s="81"/>
    </row>
    <row r="19" spans="1:16" ht="21.9" customHeight="1" x14ac:dyDescent="0.4">
      <c r="A19" s="148" t="s">
        <v>27</v>
      </c>
      <c r="B19" s="3"/>
      <c r="C19" s="3"/>
      <c r="D19" s="3"/>
      <c r="E19" s="11" t="s">
        <v>28</v>
      </c>
      <c r="F19" s="150" t="str">
        <f>$A$19</f>
        <v>Spurious</v>
      </c>
      <c r="G19" s="42" t="str">
        <f>IF(COUNT(B19:D19)=0, "H", IF(COUNT(B20:D20)=0, "V", IF(MAX(B19:D19) &gt;= MAX(B20:D20), "V", "H")))</f>
        <v>H</v>
      </c>
      <c r="H19" s="44">
        <f>MAX(B19:D20)</f>
        <v>0</v>
      </c>
      <c r="I19" s="120">
        <v>-30</v>
      </c>
      <c r="J19" s="134" t="str">
        <f>IF(OR(I19-H19&gt;10,I19-H19=-30),"No Peak Found",I19-H19)</f>
        <v>No Peak Found</v>
      </c>
      <c r="K19" s="136" t="s">
        <v>8</v>
      </c>
      <c r="L19" s="68" t="str">
        <f>IF(OR(COUNTIF(B19:D20, "-")+COUNTBLANK(B19:D20)=6), "Pass", IF(H19 &gt; I19, "Fail", IF(J19 &lt; 3, "Margin 부족", "Pass")))</f>
        <v>Pass</v>
      </c>
      <c r="M19" s="138" t="s">
        <v>11</v>
      </c>
    </row>
    <row r="20" spans="1:16" ht="21.9" customHeight="1" thickBot="1" x14ac:dyDescent="0.45">
      <c r="A20" s="149"/>
      <c r="B20" s="7"/>
      <c r="C20" s="7"/>
      <c r="D20" s="7"/>
      <c r="E20" s="12" t="s">
        <v>29</v>
      </c>
      <c r="F20" s="151"/>
      <c r="G20" s="152"/>
      <c r="H20" s="153"/>
      <c r="I20" s="154"/>
      <c r="J20" s="135"/>
      <c r="K20" s="105"/>
      <c r="L20" s="137"/>
      <c r="M20" s="139"/>
    </row>
    <row r="21" spans="1:16" ht="21.9" customHeight="1" thickBot="1" x14ac:dyDescent="0.45">
      <c r="A21" s="140" t="s">
        <v>33</v>
      </c>
      <c r="B21" s="141"/>
      <c r="C21" s="141"/>
      <c r="D21" s="141"/>
      <c r="E21" s="141"/>
      <c r="F21" s="142" t="str">
        <f>A21</f>
        <v>3 - 12.75G - 2nd, 3rd, 4th, 5th</v>
      </c>
      <c r="G21" s="143"/>
      <c r="H21" s="143"/>
      <c r="I21" s="143"/>
      <c r="J21" s="59"/>
      <c r="K21" s="143"/>
      <c r="L21" s="144"/>
      <c r="M21" s="145"/>
    </row>
    <row r="22" spans="1:16" ht="21.9" customHeight="1" thickTop="1" x14ac:dyDescent="0.4">
      <c r="A22" s="128" t="s">
        <v>44</v>
      </c>
      <c r="B22" s="130" t="s">
        <v>15</v>
      </c>
      <c r="C22" s="130" t="s">
        <v>16</v>
      </c>
      <c r="D22" s="130" t="s">
        <v>17</v>
      </c>
      <c r="E22" s="132" t="s">
        <v>18</v>
      </c>
      <c r="F22" s="128" t="s">
        <v>44</v>
      </c>
      <c r="G22" s="122" t="s">
        <v>18</v>
      </c>
      <c r="H22" s="122" t="s">
        <v>30</v>
      </c>
      <c r="I22" s="123" t="s">
        <v>42</v>
      </c>
      <c r="J22" s="74" t="s">
        <v>43</v>
      </c>
      <c r="K22" s="124" t="s">
        <v>9</v>
      </c>
      <c r="L22" s="126" t="s">
        <v>19</v>
      </c>
      <c r="M22" s="118" t="s">
        <v>7</v>
      </c>
    </row>
    <row r="23" spans="1:16" ht="21.75" customHeight="1" x14ac:dyDescent="0.4">
      <c r="A23" s="129"/>
      <c r="B23" s="131"/>
      <c r="C23" s="131"/>
      <c r="D23" s="131"/>
      <c r="E23" s="133"/>
      <c r="F23" s="129"/>
      <c r="G23" s="101"/>
      <c r="H23" s="101"/>
      <c r="I23" s="73"/>
      <c r="J23" s="75"/>
      <c r="K23" s="125"/>
      <c r="L23" s="127"/>
      <c r="M23" s="119"/>
    </row>
    <row r="24" spans="1:16" ht="21.9" customHeight="1" x14ac:dyDescent="0.4">
      <c r="A24" s="102">
        <f>I7*2</f>
        <v>0</v>
      </c>
      <c r="B24" s="4"/>
      <c r="C24" s="4"/>
      <c r="D24" s="4"/>
      <c r="E24" s="13" t="s">
        <v>1</v>
      </c>
      <c r="F24" s="314">
        <f>$A$24</f>
        <v>0</v>
      </c>
      <c r="G24" s="152" t="str">
        <f>IF(COUNT(B24:D24)=0, "H", IF(COUNT(B25:D25)=0, "V", IF(MAX(B24:D24) &gt;= MAX(B25:D25), "V", "H")))</f>
        <v>H</v>
      </c>
      <c r="H24" s="153">
        <f>MAX(B24:D25)</f>
        <v>0</v>
      </c>
      <c r="I24" s="321">
        <v>-30</v>
      </c>
      <c r="J24" s="111" t="str">
        <f>IF(OR(I24-H24&gt;10,I24-H24=-30),"No Peak Found",I24-H24)</f>
        <v>No Peak Found</v>
      </c>
      <c r="K24" s="323" t="s">
        <v>8</v>
      </c>
      <c r="L24" s="301" t="str">
        <f>IF(OR(COUNTIF(B24:D25, "-")+COUNTBLANK(B24:D25)=6), "Pass", IF(H24 &gt; I24, "Fail", IF(J24 &lt; 3, "Margin 부족", "Pass")))</f>
        <v>Pass</v>
      </c>
      <c r="M24" s="38" t="s">
        <v>10</v>
      </c>
    </row>
    <row r="25" spans="1:16" ht="21.9" customHeight="1" x14ac:dyDescent="0.4">
      <c r="A25" s="108"/>
      <c r="B25" s="4"/>
      <c r="C25" s="4"/>
      <c r="D25" s="4"/>
      <c r="E25" s="13" t="s">
        <v>0</v>
      </c>
      <c r="F25" s="315"/>
      <c r="G25" s="316"/>
      <c r="H25" s="317"/>
      <c r="I25" s="322"/>
      <c r="J25" s="112"/>
      <c r="K25" s="324"/>
      <c r="L25" s="302"/>
      <c r="M25" s="107"/>
    </row>
    <row r="26" spans="1:16" ht="21.9" customHeight="1" x14ac:dyDescent="0.4">
      <c r="A26" s="102">
        <f>I7*3</f>
        <v>0</v>
      </c>
      <c r="B26" s="4"/>
      <c r="C26" s="4"/>
      <c r="D26" s="4"/>
      <c r="E26" s="13" t="s">
        <v>1</v>
      </c>
      <c r="F26" s="303">
        <f>$A$26</f>
        <v>0</v>
      </c>
      <c r="G26" s="152" t="str">
        <f>IF(COUNT(B26:D26)=0, "H", IF(COUNT(B27:D27)=0, "V", IF(MAX(B26:D26) &gt;= MAX(B27:D27), "V", "H")))</f>
        <v>H</v>
      </c>
      <c r="H26" s="153">
        <f>MAX(B26:D27)</f>
        <v>0</v>
      </c>
      <c r="I26" s="307">
        <v>-30</v>
      </c>
      <c r="J26" s="111" t="str">
        <f t="shared" ref="J26" si="0">IF(OR(I26-H26&gt;10,I26-H26=-30),"No Peak Found",I26-H26)</f>
        <v>No Peak Found</v>
      </c>
      <c r="K26" s="312" t="s">
        <v>8</v>
      </c>
      <c r="L26" s="301" t="str">
        <f>IF(OR(COUNTIF(B26:D27, "-")+COUNTBLANK(B26:D27)=6), "Pass", IF(H26 &gt; I26, "Fail", IF(J26 &lt; 3, "Margin 부족", "Pass")))</f>
        <v>Pass</v>
      </c>
      <c r="M26" s="38" t="s">
        <v>10</v>
      </c>
    </row>
    <row r="27" spans="1:16" ht="21.9" customHeight="1" x14ac:dyDescent="0.4">
      <c r="A27" s="108"/>
      <c r="B27" s="4"/>
      <c r="C27" s="4"/>
      <c r="D27" s="4"/>
      <c r="E27" s="13" t="s">
        <v>0</v>
      </c>
      <c r="F27" s="320"/>
      <c r="G27" s="316"/>
      <c r="H27" s="317"/>
      <c r="I27" s="318"/>
      <c r="J27" s="112"/>
      <c r="K27" s="313"/>
      <c r="L27" s="302"/>
      <c r="M27" s="107"/>
    </row>
    <row r="28" spans="1:16" ht="21.9" customHeight="1" x14ac:dyDescent="0.4">
      <c r="A28" s="102">
        <f>I7*4</f>
        <v>0</v>
      </c>
      <c r="B28" s="4"/>
      <c r="C28" s="4"/>
      <c r="D28" s="4"/>
      <c r="E28" s="13" t="s">
        <v>1</v>
      </c>
      <c r="F28" s="314">
        <f>$A$28</f>
        <v>0</v>
      </c>
      <c r="G28" s="152" t="str">
        <f>IF(COUNT(B28:D28)=0, "H", IF(COUNT(B29:D29)=0, "V", IF(MAX(B28:D28) &gt;= MAX(B29:D29), "V", "H")))</f>
        <v>H</v>
      </c>
      <c r="H28" s="153">
        <f>MAX(B28:D29)</f>
        <v>0</v>
      </c>
      <c r="I28" s="307">
        <v>-30</v>
      </c>
      <c r="J28" s="111" t="str">
        <f t="shared" ref="J28" si="1">IF(OR(I28-H28&gt;10,I28-H28=-30),"No Peak Found",I28-H28)</f>
        <v>No Peak Found</v>
      </c>
      <c r="K28" s="309" t="s">
        <v>8</v>
      </c>
      <c r="L28" s="301" t="str">
        <f>IF(OR(COUNTIF(B28:D29, "-")+COUNTBLANK(B28:D29)=6), "Pass", IF(H28 &gt; I28, "Fail", IF(J28 &lt; 3, "Margin 부족", "Pass")))</f>
        <v>Pass</v>
      </c>
      <c r="M28" s="38" t="s">
        <v>10</v>
      </c>
    </row>
    <row r="29" spans="1:16" ht="21.9" customHeight="1" x14ac:dyDescent="0.4">
      <c r="A29" s="108"/>
      <c r="B29" s="4"/>
      <c r="C29" s="4"/>
      <c r="D29" s="4"/>
      <c r="E29" s="13" t="s">
        <v>0</v>
      </c>
      <c r="F29" s="315"/>
      <c r="G29" s="316"/>
      <c r="H29" s="317"/>
      <c r="I29" s="318"/>
      <c r="J29" s="112"/>
      <c r="K29" s="319"/>
      <c r="L29" s="302"/>
      <c r="M29" s="107"/>
      <c r="N29" s="8" t="s">
        <v>7</v>
      </c>
    </row>
    <row r="30" spans="1:16" ht="21.9" customHeight="1" x14ac:dyDescent="0.4">
      <c r="A30" s="102">
        <f>I7*5</f>
        <v>0</v>
      </c>
      <c r="B30" s="4"/>
      <c r="C30" s="4"/>
      <c r="D30" s="4"/>
      <c r="E30" s="13" t="s">
        <v>1</v>
      </c>
      <c r="F30" s="303">
        <f>$A$30</f>
        <v>0</v>
      </c>
      <c r="G30" s="152" t="str">
        <f>IF(COUNT(B30:D30)=0, "H", IF(COUNT(B31:D31)=0, "V", IF(MAX(B30:D30) &gt;= MAX(B31:D31), "V", "H")))</f>
        <v>H</v>
      </c>
      <c r="H30" s="153">
        <f>MAX(B30:D31)</f>
        <v>0</v>
      </c>
      <c r="I30" s="307">
        <v>-30</v>
      </c>
      <c r="J30" s="111" t="str">
        <f t="shared" ref="J30" si="2">IF(OR(I30-H30&gt;10,I30-H30=-30),"No Peak Found",I30-H30)</f>
        <v>No Peak Found</v>
      </c>
      <c r="K30" s="309" t="s">
        <v>8</v>
      </c>
      <c r="L30" s="301" t="str">
        <f>IF(OR(COUNTIF(B30:D31, "-")+COUNTBLANK(B30:D31)=6), "Pass", IF(H30 &gt; I30, "Fail", IF(J30 &lt; 3, "Margin 부족", "Pass")))</f>
        <v>Pass</v>
      </c>
      <c r="M30" s="138" t="s">
        <v>10</v>
      </c>
      <c r="N30" s="82" t="str">
        <f>"1. LTE Band : " &amp; VALUE(RIGHT(A7, LEN(A7)-1))</f>
        <v>1. LTE Band : 40</v>
      </c>
      <c r="O30" s="83"/>
      <c r="P30" s="83"/>
    </row>
    <row r="31" spans="1:16" ht="21.9" customHeight="1" thickBot="1" x14ac:dyDescent="0.45">
      <c r="A31" s="103"/>
      <c r="B31" s="9"/>
      <c r="C31" s="9"/>
      <c r="D31" s="9"/>
      <c r="E31" s="14" t="s">
        <v>29</v>
      </c>
      <c r="F31" s="304"/>
      <c r="G31" s="305"/>
      <c r="H31" s="306"/>
      <c r="I31" s="308"/>
      <c r="J31" s="115"/>
      <c r="K31" s="310"/>
      <c r="L31" s="311"/>
      <c r="M31" s="139"/>
      <c r="N31" s="84" t="str">
        <f>"2. The test was performed the " &amp; H7 &amp; " antenna."</f>
        <v>2. The test was performed the  antenna.</v>
      </c>
      <c r="O31" s="85"/>
      <c r="P31" s="85"/>
    </row>
    <row r="32" spans="1:16" ht="24.9" customHeight="1" x14ac:dyDescent="0.4">
      <c r="A32" s="86" t="s">
        <v>13</v>
      </c>
      <c r="B32" s="87"/>
      <c r="C32" s="87"/>
      <c r="D32" s="87"/>
      <c r="E32" s="88"/>
      <c r="F32" s="86" t="s">
        <v>41</v>
      </c>
      <c r="G32" s="90"/>
      <c r="H32" s="90"/>
      <c r="I32" s="90"/>
      <c r="J32" s="90"/>
      <c r="K32" s="90"/>
      <c r="L32" s="90"/>
      <c r="M32" s="91"/>
    </row>
    <row r="33" spans="1:13" ht="24.9" customHeight="1" x14ac:dyDescent="0.4">
      <c r="A33" s="89"/>
      <c r="B33" s="87"/>
      <c r="C33" s="87"/>
      <c r="D33" s="87"/>
      <c r="E33" s="88"/>
      <c r="F33" s="300"/>
      <c r="G33" s="92"/>
      <c r="H33" s="92"/>
      <c r="I33" s="92"/>
      <c r="J33" s="92"/>
      <c r="K33" s="92"/>
      <c r="L33" s="92"/>
      <c r="M33" s="93"/>
    </row>
    <row r="34" spans="1:13" ht="21.9" customHeight="1" thickBot="1" x14ac:dyDescent="0.45">
      <c r="A34" s="94" t="s">
        <v>5</v>
      </c>
      <c r="B34" s="95"/>
      <c r="C34" s="95"/>
      <c r="D34" s="95"/>
      <c r="E34" s="96"/>
      <c r="F34" s="97" t="s">
        <v>5</v>
      </c>
      <c r="G34" s="97"/>
      <c r="H34" s="97"/>
      <c r="I34" s="97"/>
      <c r="J34" s="97"/>
      <c r="K34" s="97"/>
      <c r="L34" s="97"/>
      <c r="M34" s="97"/>
    </row>
    <row r="35" spans="1:13" ht="21.9" customHeight="1" thickTop="1" x14ac:dyDescent="0.4">
      <c r="A35" s="60" t="s">
        <v>44</v>
      </c>
      <c r="B35" s="62" t="s">
        <v>15</v>
      </c>
      <c r="C35" s="62" t="s">
        <v>16</v>
      </c>
      <c r="D35" s="62" t="s">
        <v>17</v>
      </c>
      <c r="E35" s="98" t="s">
        <v>18</v>
      </c>
      <c r="F35" s="60" t="s">
        <v>44</v>
      </c>
      <c r="G35" s="100" t="s">
        <v>18</v>
      </c>
      <c r="H35" s="100" t="s">
        <v>30</v>
      </c>
      <c r="I35" s="72" t="s">
        <v>42</v>
      </c>
      <c r="J35" s="74" t="s">
        <v>43</v>
      </c>
      <c r="K35" s="76" t="s">
        <v>9</v>
      </c>
      <c r="L35" s="78" t="s">
        <v>19</v>
      </c>
      <c r="M35" s="80" t="s">
        <v>7</v>
      </c>
    </row>
    <row r="36" spans="1:13" ht="21.9" customHeight="1" x14ac:dyDescent="0.4">
      <c r="A36" s="61"/>
      <c r="B36" s="63"/>
      <c r="C36" s="63"/>
      <c r="D36" s="63"/>
      <c r="E36" s="99"/>
      <c r="F36" s="61"/>
      <c r="G36" s="101"/>
      <c r="H36" s="101"/>
      <c r="I36" s="73"/>
      <c r="J36" s="75"/>
      <c r="K36" s="77"/>
      <c r="L36" s="79"/>
      <c r="M36" s="81"/>
    </row>
    <row r="37" spans="1:13" ht="21.9" customHeight="1" x14ac:dyDescent="0.4">
      <c r="A37" s="46" t="s">
        <v>27</v>
      </c>
      <c r="B37" s="10"/>
      <c r="C37" s="1"/>
      <c r="D37" s="1"/>
      <c r="E37" s="11" t="s">
        <v>28</v>
      </c>
      <c r="F37" s="48" t="str">
        <f>A37</f>
        <v>Spurious</v>
      </c>
      <c r="G37" s="298" t="str">
        <f>IF(COUNT(B37:D37)=0, "H", IF(COUNT(B38:D38)=0, "V", IF(MAX(B37:D37) &gt;= MAX(B38:D38), "V", "H")))</f>
        <v>H</v>
      </c>
      <c r="H37" s="52">
        <f>MAX(B37:D38)</f>
        <v>0</v>
      </c>
      <c r="I37" s="54">
        <v>-57</v>
      </c>
      <c r="J37" s="64" t="str">
        <f>IF(OR(I37-H37&gt;10,I37-H37=-57),"No Peak Found",I37-H37)</f>
        <v>No Peak Found</v>
      </c>
      <c r="K37" s="66" t="s">
        <v>8</v>
      </c>
      <c r="L37" s="68" t="str">
        <f>IF(OR(COUNTIF(B37:D38, "-")+COUNTBLANK(B37:D38)=6), "Pass", IF(H37 &gt; I37, "Fail", IF(J37 &lt; 3, "Margin 부족", "Pass")))</f>
        <v>Pass</v>
      </c>
      <c r="M37" s="70" t="s">
        <v>11</v>
      </c>
    </row>
    <row r="38" spans="1:13" ht="21.9" customHeight="1" thickBot="1" x14ac:dyDescent="0.45">
      <c r="A38" s="47"/>
      <c r="B38" s="2"/>
      <c r="C38" s="2"/>
      <c r="D38" s="2"/>
      <c r="E38" s="12" t="s">
        <v>29</v>
      </c>
      <c r="F38" s="49"/>
      <c r="G38" s="299"/>
      <c r="H38" s="53"/>
      <c r="I38" s="55"/>
      <c r="J38" s="65"/>
      <c r="K38" s="67"/>
      <c r="L38" s="69"/>
      <c r="M38" s="71"/>
    </row>
    <row r="39" spans="1:13" ht="21.9" customHeight="1" thickBot="1" x14ac:dyDescent="0.45">
      <c r="A39" s="56" t="s">
        <v>34</v>
      </c>
      <c r="B39" s="57"/>
      <c r="C39" s="57"/>
      <c r="D39" s="57"/>
      <c r="E39" s="58"/>
      <c r="F39" s="59" t="s">
        <v>34</v>
      </c>
      <c r="G39" s="59"/>
      <c r="H39" s="59"/>
      <c r="I39" s="59"/>
      <c r="J39" s="59"/>
      <c r="K39" s="59"/>
      <c r="L39" s="59"/>
      <c r="M39" s="59"/>
    </row>
    <row r="40" spans="1:13" ht="21.9" customHeight="1" thickTop="1" x14ac:dyDescent="0.4">
      <c r="A40" s="60" t="s">
        <v>44</v>
      </c>
      <c r="B40" s="62" t="s">
        <v>15</v>
      </c>
      <c r="C40" s="62" t="s">
        <v>16</v>
      </c>
      <c r="D40" s="62" t="s">
        <v>17</v>
      </c>
      <c r="E40" s="98" t="s">
        <v>18</v>
      </c>
      <c r="F40" s="60" t="s">
        <v>44</v>
      </c>
      <c r="G40" s="100" t="s">
        <v>18</v>
      </c>
      <c r="H40" s="100" t="s">
        <v>30</v>
      </c>
      <c r="I40" s="72" t="s">
        <v>42</v>
      </c>
      <c r="J40" s="74" t="s">
        <v>43</v>
      </c>
      <c r="K40" s="76" t="s">
        <v>9</v>
      </c>
      <c r="L40" s="78" t="s">
        <v>19</v>
      </c>
      <c r="M40" s="80" t="s">
        <v>7</v>
      </c>
    </row>
    <row r="41" spans="1:13" ht="21.9" customHeight="1" x14ac:dyDescent="0.4">
      <c r="A41" s="61"/>
      <c r="B41" s="63"/>
      <c r="C41" s="63"/>
      <c r="D41" s="63"/>
      <c r="E41" s="99"/>
      <c r="F41" s="61"/>
      <c r="G41" s="101"/>
      <c r="H41" s="101"/>
      <c r="I41" s="73"/>
      <c r="J41" s="75"/>
      <c r="K41" s="77"/>
      <c r="L41" s="79"/>
      <c r="M41" s="81"/>
    </row>
    <row r="42" spans="1:13" ht="21.9" customHeight="1" x14ac:dyDescent="0.4">
      <c r="A42" s="46" t="s">
        <v>27</v>
      </c>
      <c r="B42" s="10"/>
      <c r="C42" s="1"/>
      <c r="D42" s="1"/>
      <c r="E42" s="11" t="s">
        <v>28</v>
      </c>
      <c r="F42" s="48" t="str">
        <f>A42</f>
        <v>Spurious</v>
      </c>
      <c r="G42" s="298" t="str">
        <f>IF(COUNT(B42:D42)=0, "H", IF(COUNT(B43:D43)=0, "V", IF(MAX(B42:D42) &gt;= MAX(B43:D43), "V", "H")))</f>
        <v>H</v>
      </c>
      <c r="H42" s="52">
        <f>MAX(B42:D43)</f>
        <v>0</v>
      </c>
      <c r="I42" s="54">
        <v>-47</v>
      </c>
      <c r="J42" s="64" t="str">
        <f>IF(OR(I42-H42&gt;10,I42-H42=-47),"No Peak Found",I42-H42)</f>
        <v>No Peak Found</v>
      </c>
      <c r="K42" s="66" t="s">
        <v>8</v>
      </c>
      <c r="L42" s="68" t="str">
        <f>IF(OR(COUNTIF(B42:D43, "-")+COUNTBLANK(B42:D43)=6), "Pass", IF(H42 &gt; I42, "Fail", IF(J42 &lt; 3, "Margin 부족", "Pass")))</f>
        <v>Pass</v>
      </c>
      <c r="M42" s="70" t="s">
        <v>11</v>
      </c>
    </row>
    <row r="43" spans="1:13" ht="21.9" customHeight="1" thickBot="1" x14ac:dyDescent="0.45">
      <c r="A43" s="47"/>
      <c r="B43" s="2"/>
      <c r="C43" s="2"/>
      <c r="D43" s="2"/>
      <c r="E43" s="12" t="s">
        <v>29</v>
      </c>
      <c r="F43" s="49"/>
      <c r="G43" s="299"/>
      <c r="H43" s="53"/>
      <c r="I43" s="55"/>
      <c r="J43" s="65"/>
      <c r="K43" s="67"/>
      <c r="L43" s="69"/>
      <c r="M43" s="71"/>
    </row>
    <row r="44" spans="1:13" ht="21.9" customHeight="1" x14ac:dyDescent="0.4"/>
  </sheetData>
  <mergeCells count="177">
    <mergeCell ref="B1:D1"/>
    <mergeCell ref="E1:F2"/>
    <mergeCell ref="G1:M1"/>
    <mergeCell ref="B2:D2"/>
    <mergeCell ref="G2:M2"/>
    <mergeCell ref="A3:M4"/>
    <mergeCell ref="H7:H8"/>
    <mergeCell ref="I7:M8"/>
    <mergeCell ref="A9:E10"/>
    <mergeCell ref="F9:M10"/>
    <mergeCell ref="A11:E11"/>
    <mergeCell ref="F11:M11"/>
    <mergeCell ref="G5:G6"/>
    <mergeCell ref="H5:H6"/>
    <mergeCell ref="I5:M6"/>
    <mergeCell ref="A7:A8"/>
    <mergeCell ref="B7:B8"/>
    <mergeCell ref="C7:C8"/>
    <mergeCell ref="D7:D8"/>
    <mergeCell ref="E7:E8"/>
    <mergeCell ref="F7:F8"/>
    <mergeCell ref="G7:G8"/>
    <mergeCell ref="A5:A6"/>
    <mergeCell ref="B5:B6"/>
    <mergeCell ref="C5:C6"/>
    <mergeCell ref="D5:D6"/>
    <mergeCell ref="E5:E6"/>
    <mergeCell ref="F5:F6"/>
    <mergeCell ref="M12:M13"/>
    <mergeCell ref="A14:A15"/>
    <mergeCell ref="F14:F15"/>
    <mergeCell ref="G14:G15"/>
    <mergeCell ref="H14:H15"/>
    <mergeCell ref="I14:I15"/>
    <mergeCell ref="J14:J15"/>
    <mergeCell ref="K14:K15"/>
    <mergeCell ref="L14:L15"/>
    <mergeCell ref="M14:M15"/>
    <mergeCell ref="G12:G13"/>
    <mergeCell ref="H12:H13"/>
    <mergeCell ref="I12:I13"/>
    <mergeCell ref="J12:J13"/>
    <mergeCell ref="K12:K13"/>
    <mergeCell ref="L12:L13"/>
    <mergeCell ref="A12:A13"/>
    <mergeCell ref="B12:B13"/>
    <mergeCell ref="C12:C13"/>
    <mergeCell ref="D12:D13"/>
    <mergeCell ref="E12:E13"/>
    <mergeCell ref="F12:F13"/>
    <mergeCell ref="A16:E16"/>
    <mergeCell ref="F16:M16"/>
    <mergeCell ref="A17:A18"/>
    <mergeCell ref="B17:B18"/>
    <mergeCell ref="C17:C18"/>
    <mergeCell ref="D17:D18"/>
    <mergeCell ref="E17:E18"/>
    <mergeCell ref="F17:F18"/>
    <mergeCell ref="G17:G18"/>
    <mergeCell ref="H17:H18"/>
    <mergeCell ref="J19:J20"/>
    <mergeCell ref="K19:K20"/>
    <mergeCell ref="L19:L20"/>
    <mergeCell ref="M19:M20"/>
    <mergeCell ref="A21:E21"/>
    <mergeCell ref="F21:M21"/>
    <mergeCell ref="I17:I18"/>
    <mergeCell ref="J17:J18"/>
    <mergeCell ref="K17:K18"/>
    <mergeCell ref="L17:L18"/>
    <mergeCell ref="M17:M18"/>
    <mergeCell ref="A19:A20"/>
    <mergeCell ref="F19:F20"/>
    <mergeCell ref="G19:G20"/>
    <mergeCell ref="H19:H20"/>
    <mergeCell ref="I19:I20"/>
    <mergeCell ref="M22:M23"/>
    <mergeCell ref="A24:A25"/>
    <mergeCell ref="F24:F25"/>
    <mergeCell ref="G24:G25"/>
    <mergeCell ref="H24:H25"/>
    <mergeCell ref="I24:I25"/>
    <mergeCell ref="J24:J25"/>
    <mergeCell ref="K24:K25"/>
    <mergeCell ref="L24:L25"/>
    <mergeCell ref="M24:M25"/>
    <mergeCell ref="G22:G23"/>
    <mergeCell ref="H22:H23"/>
    <mergeCell ref="I22:I23"/>
    <mergeCell ref="J22:J23"/>
    <mergeCell ref="K22:K23"/>
    <mergeCell ref="L22:L23"/>
    <mergeCell ref="A22:A23"/>
    <mergeCell ref="B22:B23"/>
    <mergeCell ref="C22:C23"/>
    <mergeCell ref="D22:D23"/>
    <mergeCell ref="E22:E23"/>
    <mergeCell ref="F22:F23"/>
    <mergeCell ref="K26:K27"/>
    <mergeCell ref="L26:L27"/>
    <mergeCell ref="M26:M27"/>
    <mergeCell ref="A28:A29"/>
    <mergeCell ref="F28:F29"/>
    <mergeCell ref="G28:G29"/>
    <mergeCell ref="H28:H29"/>
    <mergeCell ref="I28:I29"/>
    <mergeCell ref="J28:J29"/>
    <mergeCell ref="K28:K29"/>
    <mergeCell ref="A26:A27"/>
    <mergeCell ref="F26:F27"/>
    <mergeCell ref="G26:G27"/>
    <mergeCell ref="H26:H27"/>
    <mergeCell ref="I26:I27"/>
    <mergeCell ref="J26:J27"/>
    <mergeCell ref="M30:M31"/>
    <mergeCell ref="N30:P30"/>
    <mergeCell ref="N31:P31"/>
    <mergeCell ref="A32:E33"/>
    <mergeCell ref="F32:M33"/>
    <mergeCell ref="A34:E34"/>
    <mergeCell ref="F34:M34"/>
    <mergeCell ref="L28:L29"/>
    <mergeCell ref="M28:M29"/>
    <mergeCell ref="A30:A31"/>
    <mergeCell ref="F30:F31"/>
    <mergeCell ref="G30:G31"/>
    <mergeCell ref="H30:H31"/>
    <mergeCell ref="I30:I31"/>
    <mergeCell ref="J30:J31"/>
    <mergeCell ref="K30:K31"/>
    <mergeCell ref="L30:L31"/>
    <mergeCell ref="M35:M36"/>
    <mergeCell ref="A37:A38"/>
    <mergeCell ref="F37:F38"/>
    <mergeCell ref="G37:G38"/>
    <mergeCell ref="H37:H38"/>
    <mergeCell ref="I37:I38"/>
    <mergeCell ref="J37:J38"/>
    <mergeCell ref="K37:K38"/>
    <mergeCell ref="L37:L38"/>
    <mergeCell ref="M37:M38"/>
    <mergeCell ref="G35:G36"/>
    <mergeCell ref="H35:H36"/>
    <mergeCell ref="I35:I36"/>
    <mergeCell ref="J35:J36"/>
    <mergeCell ref="K35:K36"/>
    <mergeCell ref="L35:L36"/>
    <mergeCell ref="A35:A36"/>
    <mergeCell ref="B35:B36"/>
    <mergeCell ref="C35:C36"/>
    <mergeCell ref="D35:D36"/>
    <mergeCell ref="E35:E36"/>
    <mergeCell ref="F35:F36"/>
    <mergeCell ref="A42:A43"/>
    <mergeCell ref="F42:F43"/>
    <mergeCell ref="G42:G43"/>
    <mergeCell ref="H42:H43"/>
    <mergeCell ref="I42:I43"/>
    <mergeCell ref="A39:E39"/>
    <mergeCell ref="F39:M39"/>
    <mergeCell ref="A40:A41"/>
    <mergeCell ref="B40:B41"/>
    <mergeCell ref="C40:C41"/>
    <mergeCell ref="D40:D41"/>
    <mergeCell ref="E40:E41"/>
    <mergeCell ref="F40:F41"/>
    <mergeCell ref="G40:G41"/>
    <mergeCell ref="H40:H41"/>
    <mergeCell ref="J42:J43"/>
    <mergeCell ref="K42:K43"/>
    <mergeCell ref="L42:L43"/>
    <mergeCell ref="M42:M43"/>
    <mergeCell ref="I40:I41"/>
    <mergeCell ref="J40:J41"/>
    <mergeCell ref="K40:K41"/>
    <mergeCell ref="L40:L41"/>
    <mergeCell ref="M40:M41"/>
  </mergeCells>
  <phoneticPr fontId="1" type="noConversion"/>
  <conditionalFormatting sqref="J14 J19">
    <cfRule type="cellIs" dxfId="64" priority="22" operator="lessThan">
      <formula>10</formula>
    </cfRule>
  </conditionalFormatting>
  <conditionalFormatting sqref="J14">
    <cfRule type="cellIs" dxfId="63" priority="21" operator="equal">
      <formula>-36</formula>
    </cfRule>
  </conditionalFormatting>
  <conditionalFormatting sqref="L14 L19">
    <cfRule type="cellIs" dxfId="62" priority="20" operator="equal">
      <formula>"Fail"</formula>
    </cfRule>
  </conditionalFormatting>
  <conditionalFormatting sqref="L24">
    <cfRule type="cellIs" dxfId="61" priority="19" operator="equal">
      <formula>"Fail"</formula>
    </cfRule>
  </conditionalFormatting>
  <conditionalFormatting sqref="L26">
    <cfRule type="cellIs" dxfId="60" priority="18" operator="equal">
      <formula>"Fail"</formula>
    </cfRule>
  </conditionalFormatting>
  <conditionalFormatting sqref="L28">
    <cfRule type="cellIs" dxfId="59" priority="17" operator="equal">
      <formula>"Fail"</formula>
    </cfRule>
  </conditionalFormatting>
  <conditionalFormatting sqref="L30">
    <cfRule type="cellIs" dxfId="58" priority="16" operator="equal">
      <formula>"Fail"</formula>
    </cfRule>
  </conditionalFormatting>
  <conditionalFormatting sqref="V33">
    <cfRule type="cellIs" dxfId="57" priority="15" operator="equal">
      <formula>"Fail"</formula>
    </cfRule>
  </conditionalFormatting>
  <conditionalFormatting sqref="L14:L15 L19:L20 L24:L31">
    <cfRule type="cellIs" dxfId="56" priority="14" operator="equal">
      <formula>"Pass"</formula>
    </cfRule>
  </conditionalFormatting>
  <conditionalFormatting sqref="L37">
    <cfRule type="cellIs" dxfId="55" priority="13" operator="equal">
      <formula>"Fail"</formula>
    </cfRule>
  </conditionalFormatting>
  <conditionalFormatting sqref="L37:L38">
    <cfRule type="cellIs" dxfId="54" priority="12" operator="equal">
      <formula>"Pass"</formula>
    </cfRule>
  </conditionalFormatting>
  <conditionalFormatting sqref="L42">
    <cfRule type="cellIs" dxfId="53" priority="11" operator="equal">
      <formula>"Fail"</formula>
    </cfRule>
  </conditionalFormatting>
  <conditionalFormatting sqref="L42:L43">
    <cfRule type="cellIs" dxfId="52" priority="10" operator="equal">
      <formula>"Pass"</formula>
    </cfRule>
  </conditionalFormatting>
  <conditionalFormatting sqref="B14:D15">
    <cfRule type="top10" dxfId="51" priority="9" rank="1"/>
  </conditionalFormatting>
  <conditionalFormatting sqref="B19:D20">
    <cfRule type="top10" dxfId="50" priority="8" rank="1"/>
  </conditionalFormatting>
  <conditionalFormatting sqref="B24:D25">
    <cfRule type="top10" dxfId="49" priority="7" rank="1"/>
  </conditionalFormatting>
  <conditionalFormatting sqref="B26:D27">
    <cfRule type="top10" dxfId="48" priority="6" rank="1"/>
  </conditionalFormatting>
  <conditionalFormatting sqref="B28:D29">
    <cfRule type="top10" dxfId="47" priority="5" rank="1"/>
  </conditionalFormatting>
  <conditionalFormatting sqref="B30:D31">
    <cfRule type="top10" dxfId="46" priority="4" rank="1"/>
  </conditionalFormatting>
  <conditionalFormatting sqref="J24 J26 J28 J30">
    <cfRule type="expression" dxfId="45" priority="1">
      <formula>J24=-30</formula>
    </cfRule>
    <cfRule type="expression" dxfId="44" priority="2">
      <formula>AND(J24&lt;&gt;-30,J24&lt;=3)</formula>
    </cfRule>
    <cfRule type="expression" dxfId="43" priority="3">
      <formula>AND(J24&gt;3,J24&lt;10)</formula>
    </cfRule>
  </conditionalFormatting>
  <dataValidations count="1">
    <dataValidation type="list" allowBlank="1" showInputMessage="1" showErrorMessage="1" sqref="M14 M19 M30 M24 M26 M28 M42:M43 M37:M38" xr:uid="{41AC5366-CF61-4D71-B3E7-219169334AD1}">
      <formula1>"Fundamental, Harmonic, Noise Floor, -"</formula1>
    </dataValidation>
  </dataValidations>
  <pageMargins left="0.7" right="0.7" top="0.75" bottom="0.75" header="0.3" footer="0.3"/>
  <pageSetup paperSize="9" scale="27" orientation="portrait" r:id="rId1"/>
  <colBreaks count="1" manualBreakCount="1">
    <brk id="13" max="42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AF417A-4854-4C3A-B9A4-2B282756745C}">
  <dimension ref="A1:P44"/>
  <sheetViews>
    <sheetView view="pageBreakPreview" zoomScale="85" zoomScaleNormal="100" zoomScaleSheetLayoutView="85" workbookViewId="0"/>
  </sheetViews>
  <sheetFormatPr defaultRowHeight="17.399999999999999" outlineLevelCol="1" x14ac:dyDescent="0.4"/>
  <cols>
    <col min="1" max="11" width="12.59765625" style="6" customWidth="1"/>
    <col min="12" max="13" width="12.59765625" style="6" hidden="1" customWidth="1" outlineLevel="1"/>
    <col min="14" max="14" width="12.59765625" style="6" customWidth="1" collapsed="1"/>
    <col min="15" max="16" width="12.59765625" style="6" customWidth="1"/>
    <col min="17" max="22" width="12.59765625" customWidth="1"/>
  </cols>
  <sheetData>
    <row r="1" spans="1:13" ht="20.100000000000001" customHeight="1" x14ac:dyDescent="0.4">
      <c r="A1" s="5" t="s">
        <v>14</v>
      </c>
      <c r="B1" s="188"/>
      <c r="C1" s="189"/>
      <c r="D1" s="190"/>
      <c r="E1" s="191" t="s">
        <v>35</v>
      </c>
      <c r="F1" s="192"/>
      <c r="G1" s="188" t="s">
        <v>36</v>
      </c>
      <c r="H1" s="189"/>
      <c r="I1" s="189"/>
      <c r="J1" s="189"/>
      <c r="K1" s="189"/>
      <c r="L1" s="189"/>
      <c r="M1" s="190"/>
    </row>
    <row r="2" spans="1:13" ht="20.100000000000001" customHeight="1" thickBot="1" x14ac:dyDescent="0.45">
      <c r="A2" s="18" t="s">
        <v>47</v>
      </c>
      <c r="B2" s="195"/>
      <c r="C2" s="196"/>
      <c r="D2" s="197"/>
      <c r="E2" s="193"/>
      <c r="F2" s="194"/>
      <c r="G2" s="195" t="s">
        <v>45</v>
      </c>
      <c r="H2" s="196"/>
      <c r="I2" s="196"/>
      <c r="J2" s="196"/>
      <c r="K2" s="196"/>
      <c r="L2" s="196"/>
      <c r="M2" s="197"/>
    </row>
    <row r="3" spans="1:13" ht="24.9" customHeight="1" x14ac:dyDescent="0.4">
      <c r="A3" s="198" t="s">
        <v>48</v>
      </c>
      <c r="B3" s="199"/>
      <c r="C3" s="199"/>
      <c r="D3" s="199"/>
      <c r="E3" s="199"/>
      <c r="F3" s="199"/>
      <c r="G3" s="199"/>
      <c r="H3" s="199"/>
      <c r="I3" s="199"/>
      <c r="J3" s="199"/>
      <c r="K3" s="199"/>
      <c r="L3" s="199"/>
      <c r="M3" s="200"/>
    </row>
    <row r="4" spans="1:13" ht="24.9" customHeight="1" thickBot="1" x14ac:dyDescent="0.45">
      <c r="A4" s="201"/>
      <c r="B4" s="202"/>
      <c r="C4" s="202"/>
      <c r="D4" s="202"/>
      <c r="E4" s="202"/>
      <c r="F4" s="202"/>
      <c r="G4" s="202"/>
      <c r="H4" s="202"/>
      <c r="I4" s="202"/>
      <c r="J4" s="202"/>
      <c r="K4" s="202"/>
      <c r="L4" s="202"/>
      <c r="M4" s="203"/>
    </row>
    <row r="5" spans="1:13" ht="24.9" customHeight="1" x14ac:dyDescent="0.4">
      <c r="A5" s="186" t="s">
        <v>20</v>
      </c>
      <c r="B5" s="278" t="s">
        <v>23</v>
      </c>
      <c r="C5" s="274" t="s">
        <v>25</v>
      </c>
      <c r="D5" s="274" t="s">
        <v>21</v>
      </c>
      <c r="E5" s="274" t="s">
        <v>22</v>
      </c>
      <c r="F5" s="274" t="s">
        <v>26</v>
      </c>
      <c r="G5" s="272" t="s">
        <v>38</v>
      </c>
      <c r="H5" s="274" t="s">
        <v>37</v>
      </c>
      <c r="I5" s="281" t="s">
        <v>39</v>
      </c>
      <c r="J5" s="207"/>
      <c r="K5" s="207"/>
      <c r="L5" s="207"/>
      <c r="M5" s="282"/>
    </row>
    <row r="6" spans="1:13" ht="20.100000000000001" customHeight="1" x14ac:dyDescent="0.4">
      <c r="A6" s="187"/>
      <c r="B6" s="279"/>
      <c r="C6" s="275"/>
      <c r="D6" s="275"/>
      <c r="E6" s="275"/>
      <c r="F6" s="275"/>
      <c r="G6" s="273"/>
      <c r="H6" s="275"/>
      <c r="I6" s="283"/>
      <c r="J6" s="284"/>
      <c r="K6" s="284"/>
      <c r="L6" s="284"/>
      <c r="M6" s="285"/>
    </row>
    <row r="7" spans="1:13" ht="20.100000000000001" customHeight="1" x14ac:dyDescent="0.4">
      <c r="A7" s="204" t="s">
        <v>64</v>
      </c>
      <c r="B7" s="276"/>
      <c r="C7" s="264"/>
      <c r="D7" s="264"/>
      <c r="E7" s="263"/>
      <c r="F7" s="263"/>
      <c r="G7" s="263">
        <v>15</v>
      </c>
      <c r="H7" s="264"/>
      <c r="I7" s="286"/>
      <c r="J7" s="287"/>
      <c r="K7" s="287"/>
      <c r="L7" s="287"/>
      <c r="M7" s="288"/>
    </row>
    <row r="8" spans="1:13" ht="20.100000000000001" customHeight="1" thickBot="1" x14ac:dyDescent="0.45">
      <c r="A8" s="205"/>
      <c r="B8" s="277"/>
      <c r="C8" s="265"/>
      <c r="D8" s="265"/>
      <c r="E8" s="264"/>
      <c r="F8" s="264"/>
      <c r="G8" s="264"/>
      <c r="H8" s="265"/>
      <c r="I8" s="289"/>
      <c r="J8" s="290"/>
      <c r="K8" s="290"/>
      <c r="L8" s="290"/>
      <c r="M8" s="291"/>
    </row>
    <row r="9" spans="1:13" ht="24.9" customHeight="1" x14ac:dyDescent="0.4">
      <c r="A9" s="266" t="s">
        <v>12</v>
      </c>
      <c r="B9" s="267"/>
      <c r="C9" s="267"/>
      <c r="D9" s="267"/>
      <c r="E9" s="268"/>
      <c r="F9" s="271" t="s">
        <v>40</v>
      </c>
      <c r="G9" s="267"/>
      <c r="H9" s="267"/>
      <c r="I9" s="267"/>
      <c r="J9" s="267"/>
      <c r="K9" s="267"/>
      <c r="L9" s="267"/>
      <c r="M9" s="268"/>
    </row>
    <row r="10" spans="1:13" ht="24.9" customHeight="1" x14ac:dyDescent="0.4">
      <c r="A10" s="269"/>
      <c r="B10" s="177"/>
      <c r="C10" s="177"/>
      <c r="D10" s="177"/>
      <c r="E10" s="270"/>
      <c r="F10" s="177"/>
      <c r="G10" s="177"/>
      <c r="H10" s="177"/>
      <c r="I10" s="177"/>
      <c r="J10" s="177"/>
      <c r="K10" s="177"/>
      <c r="L10" s="177"/>
      <c r="M10" s="270"/>
    </row>
    <row r="11" spans="1:13" ht="21.9" customHeight="1" thickBot="1" x14ac:dyDescent="0.45">
      <c r="A11" s="280" t="s">
        <v>6</v>
      </c>
      <c r="B11" s="256"/>
      <c r="C11" s="256"/>
      <c r="D11" s="256"/>
      <c r="E11" s="258"/>
      <c r="F11" s="256" t="str">
        <f>A11</f>
        <v>30M-1G</v>
      </c>
      <c r="G11" s="256"/>
      <c r="H11" s="256"/>
      <c r="I11" s="256"/>
      <c r="J11" s="59"/>
      <c r="K11" s="256"/>
      <c r="L11" s="256"/>
      <c r="M11" s="258"/>
    </row>
    <row r="12" spans="1:13" ht="21.9" customHeight="1" thickTop="1" x14ac:dyDescent="0.4">
      <c r="A12" s="60" t="s">
        <v>44</v>
      </c>
      <c r="B12" s="62" t="s">
        <v>4</v>
      </c>
      <c r="C12" s="62" t="s">
        <v>16</v>
      </c>
      <c r="D12" s="62" t="s">
        <v>3</v>
      </c>
      <c r="E12" s="98" t="s">
        <v>2</v>
      </c>
      <c r="F12" s="60" t="s">
        <v>44</v>
      </c>
      <c r="G12" s="100" t="s">
        <v>18</v>
      </c>
      <c r="H12" s="100" t="s">
        <v>30</v>
      </c>
      <c r="I12" s="72" t="s">
        <v>42</v>
      </c>
      <c r="J12" s="74" t="s">
        <v>43</v>
      </c>
      <c r="K12" s="146" t="s">
        <v>9</v>
      </c>
      <c r="L12" s="78" t="s">
        <v>19</v>
      </c>
      <c r="M12" s="80" t="s">
        <v>7</v>
      </c>
    </row>
    <row r="13" spans="1:13" ht="21.9" customHeight="1" x14ac:dyDescent="0.4">
      <c r="A13" s="61"/>
      <c r="B13" s="63"/>
      <c r="C13" s="63"/>
      <c r="D13" s="63"/>
      <c r="E13" s="99"/>
      <c r="F13" s="61"/>
      <c r="G13" s="101"/>
      <c r="H13" s="101"/>
      <c r="I13" s="73"/>
      <c r="J13" s="75"/>
      <c r="K13" s="147"/>
      <c r="L13" s="79"/>
      <c r="M13" s="81"/>
    </row>
    <row r="14" spans="1:13" ht="21.9" customHeight="1" x14ac:dyDescent="0.4">
      <c r="A14" s="159" t="s">
        <v>27</v>
      </c>
      <c r="B14" s="3"/>
      <c r="C14" s="3"/>
      <c r="D14" s="3"/>
      <c r="E14" s="11" t="s">
        <v>28</v>
      </c>
      <c r="F14" s="161" t="str">
        <f>A14</f>
        <v>Spurious</v>
      </c>
      <c r="G14" s="42" t="str">
        <f>IF(COUNT(B14:D14)=0, "H", IF(COUNT(B15:D15)=0, "V", IF(MAX(B14:D14) &gt;= MAX(B15:D15), "V", "H")))</f>
        <v>H</v>
      </c>
      <c r="H14" s="44">
        <f>MAX(B14:D15)</f>
        <v>0</v>
      </c>
      <c r="I14" s="120">
        <v>-36</v>
      </c>
      <c r="J14" s="134" t="str">
        <f>IF(OR(I14-H14&gt;10,I14-H14=-36),"No Peak Found",I14-H14)</f>
        <v>No Peak Found</v>
      </c>
      <c r="K14" s="136" t="s">
        <v>8</v>
      </c>
      <c r="L14" s="68" t="str">
        <f>IF(OR(COUNTIF(B14:D15, "-")+COUNTBLANK(B14:D15)=6), "Pass", IF(H14 &gt; I14, "Fail", IF(J14 &lt; 3, "Margin 부족", "Pass")))</f>
        <v>Pass</v>
      </c>
      <c r="M14" s="138" t="s">
        <v>11</v>
      </c>
    </row>
    <row r="15" spans="1:13" ht="21.9" customHeight="1" thickBot="1" x14ac:dyDescent="0.45">
      <c r="A15" s="160"/>
      <c r="B15" s="7"/>
      <c r="C15" s="7"/>
      <c r="D15" s="7"/>
      <c r="E15" s="12" t="s">
        <v>29</v>
      </c>
      <c r="F15" s="162"/>
      <c r="G15" s="163"/>
      <c r="H15" s="164"/>
      <c r="I15" s="165"/>
      <c r="J15" s="135"/>
      <c r="K15" s="166"/>
      <c r="L15" s="69"/>
      <c r="M15" s="167"/>
    </row>
    <row r="16" spans="1:13" ht="21.9" customHeight="1" thickBot="1" x14ac:dyDescent="0.45">
      <c r="A16" s="155" t="s">
        <v>32</v>
      </c>
      <c r="B16" s="156"/>
      <c r="C16" s="156"/>
      <c r="D16" s="156"/>
      <c r="E16" s="157"/>
      <c r="F16" s="156" t="str">
        <f>A16</f>
        <v>1 - 3G</v>
      </c>
      <c r="G16" s="156"/>
      <c r="H16" s="156"/>
      <c r="I16" s="156"/>
      <c r="J16" s="59"/>
      <c r="K16" s="156"/>
      <c r="L16" s="156"/>
      <c r="M16" s="156"/>
    </row>
    <row r="17" spans="1:16" ht="21.9" customHeight="1" thickTop="1" x14ac:dyDescent="0.4">
      <c r="A17" s="60" t="s">
        <v>44</v>
      </c>
      <c r="B17" s="62" t="s">
        <v>15</v>
      </c>
      <c r="C17" s="62" t="s">
        <v>16</v>
      </c>
      <c r="D17" s="62" t="s">
        <v>17</v>
      </c>
      <c r="E17" s="98" t="s">
        <v>18</v>
      </c>
      <c r="F17" s="60" t="s">
        <v>44</v>
      </c>
      <c r="G17" s="100" t="s">
        <v>18</v>
      </c>
      <c r="H17" s="100" t="s">
        <v>30</v>
      </c>
      <c r="I17" s="72" t="s">
        <v>42</v>
      </c>
      <c r="J17" s="74" t="s">
        <v>43</v>
      </c>
      <c r="K17" s="146" t="s">
        <v>9</v>
      </c>
      <c r="L17" s="78" t="s">
        <v>19</v>
      </c>
      <c r="M17" s="80" t="s">
        <v>7</v>
      </c>
    </row>
    <row r="18" spans="1:16" ht="21.9" customHeight="1" x14ac:dyDescent="0.4">
      <c r="A18" s="61"/>
      <c r="B18" s="63"/>
      <c r="C18" s="63"/>
      <c r="D18" s="63"/>
      <c r="E18" s="99"/>
      <c r="F18" s="61"/>
      <c r="G18" s="101"/>
      <c r="H18" s="101"/>
      <c r="I18" s="73"/>
      <c r="J18" s="75"/>
      <c r="K18" s="147"/>
      <c r="L18" s="79"/>
      <c r="M18" s="81"/>
    </row>
    <row r="19" spans="1:16" ht="21.9" customHeight="1" x14ac:dyDescent="0.4">
      <c r="A19" s="148" t="s">
        <v>27</v>
      </c>
      <c r="B19" s="3"/>
      <c r="C19" s="3"/>
      <c r="D19" s="3"/>
      <c r="E19" s="11" t="s">
        <v>28</v>
      </c>
      <c r="F19" s="150" t="str">
        <f>$A$19</f>
        <v>Spurious</v>
      </c>
      <c r="G19" s="42" t="str">
        <f>IF(COUNT(B19:D19)=0, "H", IF(COUNT(B20:D20)=0, "V", IF(MAX(B19:D19) &gt;= MAX(B20:D20), "V", "H")))</f>
        <v>H</v>
      </c>
      <c r="H19" s="44">
        <f>MAX(B19:D20)</f>
        <v>0</v>
      </c>
      <c r="I19" s="120">
        <v>-30</v>
      </c>
      <c r="J19" s="134" t="str">
        <f>IF(OR(I19-H19&gt;10,I19-H19=-30),"No Peak Found",I19-H19)</f>
        <v>No Peak Found</v>
      </c>
      <c r="K19" s="136" t="s">
        <v>8</v>
      </c>
      <c r="L19" s="68" t="str">
        <f>IF(OR(COUNTIF(B19:D20, "-")+COUNTBLANK(B19:D20)=6), "Pass", IF(H19 &gt; I19, "Fail", IF(J19 &lt; 3, "Margin 부족", "Pass")))</f>
        <v>Pass</v>
      </c>
      <c r="M19" s="138" t="s">
        <v>11</v>
      </c>
    </row>
    <row r="20" spans="1:16" ht="21.9" customHeight="1" thickBot="1" x14ac:dyDescent="0.45">
      <c r="A20" s="149"/>
      <c r="B20" s="7"/>
      <c r="C20" s="7"/>
      <c r="D20" s="7"/>
      <c r="E20" s="12" t="s">
        <v>29</v>
      </c>
      <c r="F20" s="151"/>
      <c r="G20" s="152"/>
      <c r="H20" s="153"/>
      <c r="I20" s="154"/>
      <c r="J20" s="135"/>
      <c r="K20" s="105"/>
      <c r="L20" s="137"/>
      <c r="M20" s="139"/>
    </row>
    <row r="21" spans="1:16" ht="21.9" customHeight="1" thickBot="1" x14ac:dyDescent="0.45">
      <c r="A21" s="140" t="s">
        <v>33</v>
      </c>
      <c r="B21" s="141"/>
      <c r="C21" s="141"/>
      <c r="D21" s="141"/>
      <c r="E21" s="141"/>
      <c r="F21" s="142" t="str">
        <f>A21</f>
        <v>3 - 12.75G - 2nd, 3rd, 4th, 5th</v>
      </c>
      <c r="G21" s="143"/>
      <c r="H21" s="143"/>
      <c r="I21" s="143"/>
      <c r="J21" s="59"/>
      <c r="K21" s="143"/>
      <c r="L21" s="144"/>
      <c r="M21" s="145"/>
    </row>
    <row r="22" spans="1:16" ht="21.9" customHeight="1" thickTop="1" x14ac:dyDescent="0.4">
      <c r="A22" s="128" t="s">
        <v>44</v>
      </c>
      <c r="B22" s="130" t="s">
        <v>15</v>
      </c>
      <c r="C22" s="130" t="s">
        <v>16</v>
      </c>
      <c r="D22" s="130" t="s">
        <v>17</v>
      </c>
      <c r="E22" s="132" t="s">
        <v>18</v>
      </c>
      <c r="F22" s="128" t="s">
        <v>44</v>
      </c>
      <c r="G22" s="122" t="s">
        <v>18</v>
      </c>
      <c r="H22" s="122" t="s">
        <v>30</v>
      </c>
      <c r="I22" s="123" t="s">
        <v>42</v>
      </c>
      <c r="J22" s="74" t="s">
        <v>43</v>
      </c>
      <c r="K22" s="124" t="s">
        <v>9</v>
      </c>
      <c r="L22" s="126" t="s">
        <v>19</v>
      </c>
      <c r="M22" s="118" t="s">
        <v>7</v>
      </c>
    </row>
    <row r="23" spans="1:16" ht="21.75" customHeight="1" x14ac:dyDescent="0.4">
      <c r="A23" s="129"/>
      <c r="B23" s="131"/>
      <c r="C23" s="131"/>
      <c r="D23" s="131"/>
      <c r="E23" s="133"/>
      <c r="F23" s="129"/>
      <c r="G23" s="101"/>
      <c r="H23" s="101"/>
      <c r="I23" s="73"/>
      <c r="J23" s="75"/>
      <c r="K23" s="125"/>
      <c r="L23" s="127"/>
      <c r="M23" s="119"/>
    </row>
    <row r="24" spans="1:16" ht="21.9" customHeight="1" x14ac:dyDescent="0.4">
      <c r="A24" s="102">
        <f>I7*2</f>
        <v>0</v>
      </c>
      <c r="B24" s="4"/>
      <c r="C24" s="4"/>
      <c r="D24" s="4"/>
      <c r="E24" s="13" t="s">
        <v>1</v>
      </c>
      <c r="F24" s="314">
        <f>$A$24</f>
        <v>0</v>
      </c>
      <c r="G24" s="152" t="str">
        <f>IF(COUNT(B24:D24)=0, "H", IF(COUNT(B25:D25)=0, "V", IF(MAX(B24:D24) &gt;= MAX(B25:D25), "V", "H")))</f>
        <v>H</v>
      </c>
      <c r="H24" s="153">
        <f>MAX(B24:D25)</f>
        <v>0</v>
      </c>
      <c r="I24" s="321">
        <v>-30</v>
      </c>
      <c r="J24" s="111" t="str">
        <f>IF(OR(I24-H24&gt;10,I24-H24=-30),"No Peak Found",I24-H24)</f>
        <v>No Peak Found</v>
      </c>
      <c r="K24" s="323" t="s">
        <v>8</v>
      </c>
      <c r="L24" s="301" t="str">
        <f>IF(OR(COUNTIF(B24:D25, "-")+COUNTBLANK(B24:D25)=6), "Pass", IF(H24 &gt; I24, "Fail", IF(J24 &lt; 3, "Margin 부족", "Pass")))</f>
        <v>Pass</v>
      </c>
      <c r="M24" s="38" t="s">
        <v>10</v>
      </c>
    </row>
    <row r="25" spans="1:16" ht="21.9" customHeight="1" x14ac:dyDescent="0.4">
      <c r="A25" s="108"/>
      <c r="B25" s="4"/>
      <c r="C25" s="4"/>
      <c r="D25" s="4"/>
      <c r="E25" s="13" t="s">
        <v>0</v>
      </c>
      <c r="F25" s="315"/>
      <c r="G25" s="316"/>
      <c r="H25" s="317"/>
      <c r="I25" s="322"/>
      <c r="J25" s="112"/>
      <c r="K25" s="324"/>
      <c r="L25" s="302"/>
      <c r="M25" s="107"/>
    </row>
    <row r="26" spans="1:16" ht="21.9" customHeight="1" x14ac:dyDescent="0.4">
      <c r="A26" s="102">
        <f>I7*3</f>
        <v>0</v>
      </c>
      <c r="B26" s="4"/>
      <c r="C26" s="4"/>
      <c r="D26" s="4"/>
      <c r="E26" s="13" t="s">
        <v>1</v>
      </c>
      <c r="F26" s="303">
        <f>$A$26</f>
        <v>0</v>
      </c>
      <c r="G26" s="152" t="str">
        <f>IF(COUNT(B26:D26)=0, "H", IF(COUNT(B27:D27)=0, "V", IF(MAX(B26:D26) &gt;= MAX(B27:D27), "V", "H")))</f>
        <v>H</v>
      </c>
      <c r="H26" s="153">
        <f>MAX(B26:D27)</f>
        <v>0</v>
      </c>
      <c r="I26" s="307">
        <v>-30</v>
      </c>
      <c r="J26" s="111" t="str">
        <f t="shared" ref="J26" si="0">IF(OR(I26-H26&gt;10,I26-H26=-30),"No Peak Found",I26-H26)</f>
        <v>No Peak Found</v>
      </c>
      <c r="K26" s="312" t="s">
        <v>8</v>
      </c>
      <c r="L26" s="301" t="str">
        <f>IF(OR(COUNTIF(B26:D27, "-")+COUNTBLANK(B26:D27)=6), "Pass", IF(H26 &gt; I26, "Fail", IF(J26 &lt; 3, "Margin 부족", "Pass")))</f>
        <v>Pass</v>
      </c>
      <c r="M26" s="38" t="s">
        <v>10</v>
      </c>
    </row>
    <row r="27" spans="1:16" ht="21.9" customHeight="1" x14ac:dyDescent="0.4">
      <c r="A27" s="108"/>
      <c r="B27" s="4"/>
      <c r="C27" s="4"/>
      <c r="D27" s="4"/>
      <c r="E27" s="13" t="s">
        <v>0</v>
      </c>
      <c r="F27" s="320"/>
      <c r="G27" s="316"/>
      <c r="H27" s="317"/>
      <c r="I27" s="318"/>
      <c r="J27" s="112"/>
      <c r="K27" s="313"/>
      <c r="L27" s="302"/>
      <c r="M27" s="107"/>
    </row>
    <row r="28" spans="1:16" ht="21.9" customHeight="1" x14ac:dyDescent="0.4">
      <c r="A28" s="102">
        <f>I7*4</f>
        <v>0</v>
      </c>
      <c r="B28" s="4"/>
      <c r="C28" s="4"/>
      <c r="D28" s="4"/>
      <c r="E28" s="13" t="s">
        <v>1</v>
      </c>
      <c r="F28" s="314">
        <f>$A$28</f>
        <v>0</v>
      </c>
      <c r="G28" s="152" t="str">
        <f>IF(COUNT(B28:D28)=0, "H", IF(COUNT(B29:D29)=0, "V", IF(MAX(B28:D28) &gt;= MAX(B29:D29), "V", "H")))</f>
        <v>H</v>
      </c>
      <c r="H28" s="153">
        <f>MAX(B28:D29)</f>
        <v>0</v>
      </c>
      <c r="I28" s="307">
        <v>-30</v>
      </c>
      <c r="J28" s="111" t="str">
        <f t="shared" ref="J28" si="1">IF(OR(I28-H28&gt;10,I28-H28=-30),"No Peak Found",I28-H28)</f>
        <v>No Peak Found</v>
      </c>
      <c r="K28" s="309" t="s">
        <v>8</v>
      </c>
      <c r="L28" s="301" t="str">
        <f>IF(OR(COUNTIF(B28:D29, "-")+COUNTBLANK(B28:D29)=6), "Pass", IF(H28 &gt; I28, "Fail", IF(J28 &lt; 3, "Margin 부족", "Pass")))</f>
        <v>Pass</v>
      </c>
      <c r="M28" s="38" t="s">
        <v>10</v>
      </c>
    </row>
    <row r="29" spans="1:16" ht="21.9" customHeight="1" x14ac:dyDescent="0.4">
      <c r="A29" s="108"/>
      <c r="B29" s="4"/>
      <c r="C29" s="4"/>
      <c r="D29" s="4"/>
      <c r="E29" s="13" t="s">
        <v>0</v>
      </c>
      <c r="F29" s="315"/>
      <c r="G29" s="316"/>
      <c r="H29" s="317"/>
      <c r="I29" s="318"/>
      <c r="J29" s="112"/>
      <c r="K29" s="319"/>
      <c r="L29" s="302"/>
      <c r="M29" s="107"/>
      <c r="N29" s="8" t="s">
        <v>7</v>
      </c>
    </row>
    <row r="30" spans="1:16" ht="21.9" customHeight="1" x14ac:dyDescent="0.4">
      <c r="A30" s="102">
        <f>I7*5</f>
        <v>0</v>
      </c>
      <c r="B30" s="4"/>
      <c r="C30" s="4"/>
      <c r="D30" s="4"/>
      <c r="E30" s="13" t="s">
        <v>1</v>
      </c>
      <c r="F30" s="303">
        <f>$A$30</f>
        <v>0</v>
      </c>
      <c r="G30" s="152" t="str">
        <f>IF(COUNT(B30:D30)=0, "H", IF(COUNT(B31:D31)=0, "V", IF(MAX(B30:D30) &gt;= MAX(B31:D31), "V", "H")))</f>
        <v>H</v>
      </c>
      <c r="H30" s="153">
        <f>MAX(B30:D31)</f>
        <v>0</v>
      </c>
      <c r="I30" s="307">
        <v>-30</v>
      </c>
      <c r="J30" s="111" t="str">
        <f t="shared" ref="J30" si="2">IF(OR(I30-H30&gt;10,I30-H30=-30),"No Peak Found",I30-H30)</f>
        <v>No Peak Found</v>
      </c>
      <c r="K30" s="309" t="s">
        <v>8</v>
      </c>
      <c r="L30" s="301" t="str">
        <f>IF(OR(COUNTIF(B30:D31, "-")+COUNTBLANK(B30:D31)=6), "Pass", IF(H30 &gt; I30, "Fail", IF(J30 &lt; 3, "Margin 부족", "Pass")))</f>
        <v>Pass</v>
      </c>
      <c r="M30" s="138" t="s">
        <v>10</v>
      </c>
      <c r="N30" s="82" t="str">
        <f>"1. LTE Band : " &amp; VALUE(RIGHT(A7, LEN(A7)-1))</f>
        <v>1. LTE Band : 41</v>
      </c>
      <c r="O30" s="83"/>
      <c r="P30" s="83"/>
    </row>
    <row r="31" spans="1:16" ht="21.9" customHeight="1" thickBot="1" x14ac:dyDescent="0.45">
      <c r="A31" s="103"/>
      <c r="B31" s="9"/>
      <c r="C31" s="9"/>
      <c r="D31" s="9"/>
      <c r="E31" s="14" t="s">
        <v>29</v>
      </c>
      <c r="F31" s="304"/>
      <c r="G31" s="305"/>
      <c r="H31" s="306"/>
      <c r="I31" s="308"/>
      <c r="J31" s="115"/>
      <c r="K31" s="310"/>
      <c r="L31" s="311"/>
      <c r="M31" s="139"/>
      <c r="N31" s="84" t="str">
        <f>"2. The test was performed the " &amp; H7 &amp; " antenna."</f>
        <v>2. The test was performed the  antenna.</v>
      </c>
      <c r="O31" s="85"/>
      <c r="P31" s="85"/>
    </row>
    <row r="32" spans="1:16" ht="24.9" customHeight="1" x14ac:dyDescent="0.4">
      <c r="A32" s="86" t="s">
        <v>13</v>
      </c>
      <c r="B32" s="87"/>
      <c r="C32" s="87"/>
      <c r="D32" s="87"/>
      <c r="E32" s="88"/>
      <c r="F32" s="86" t="s">
        <v>41</v>
      </c>
      <c r="G32" s="90"/>
      <c r="H32" s="90"/>
      <c r="I32" s="90"/>
      <c r="J32" s="90"/>
      <c r="K32" s="90"/>
      <c r="L32" s="90"/>
      <c r="M32" s="91"/>
    </row>
    <row r="33" spans="1:13" ht="24.9" customHeight="1" x14ac:dyDescent="0.4">
      <c r="A33" s="89"/>
      <c r="B33" s="87"/>
      <c r="C33" s="87"/>
      <c r="D33" s="87"/>
      <c r="E33" s="88"/>
      <c r="F33" s="300"/>
      <c r="G33" s="92"/>
      <c r="H33" s="92"/>
      <c r="I33" s="92"/>
      <c r="J33" s="92"/>
      <c r="K33" s="92"/>
      <c r="L33" s="92"/>
      <c r="M33" s="93"/>
    </row>
    <row r="34" spans="1:13" ht="21.9" customHeight="1" thickBot="1" x14ac:dyDescent="0.45">
      <c r="A34" s="94" t="s">
        <v>5</v>
      </c>
      <c r="B34" s="95"/>
      <c r="C34" s="95"/>
      <c r="D34" s="95"/>
      <c r="E34" s="96"/>
      <c r="F34" s="97" t="s">
        <v>5</v>
      </c>
      <c r="G34" s="97"/>
      <c r="H34" s="97"/>
      <c r="I34" s="97"/>
      <c r="J34" s="97"/>
      <c r="K34" s="97"/>
      <c r="L34" s="97"/>
      <c r="M34" s="97"/>
    </row>
    <row r="35" spans="1:13" ht="21.9" customHeight="1" thickTop="1" x14ac:dyDescent="0.4">
      <c r="A35" s="60" t="s">
        <v>44</v>
      </c>
      <c r="B35" s="62" t="s">
        <v>15</v>
      </c>
      <c r="C35" s="62" t="s">
        <v>16</v>
      </c>
      <c r="D35" s="62" t="s">
        <v>17</v>
      </c>
      <c r="E35" s="98" t="s">
        <v>18</v>
      </c>
      <c r="F35" s="60" t="s">
        <v>44</v>
      </c>
      <c r="G35" s="100" t="s">
        <v>18</v>
      </c>
      <c r="H35" s="100" t="s">
        <v>30</v>
      </c>
      <c r="I35" s="72" t="s">
        <v>42</v>
      </c>
      <c r="J35" s="74" t="s">
        <v>43</v>
      </c>
      <c r="K35" s="76" t="s">
        <v>9</v>
      </c>
      <c r="L35" s="78" t="s">
        <v>19</v>
      </c>
      <c r="M35" s="80" t="s">
        <v>7</v>
      </c>
    </row>
    <row r="36" spans="1:13" ht="21.9" customHeight="1" x14ac:dyDescent="0.4">
      <c r="A36" s="61"/>
      <c r="B36" s="63"/>
      <c r="C36" s="63"/>
      <c r="D36" s="63"/>
      <c r="E36" s="99"/>
      <c r="F36" s="61"/>
      <c r="G36" s="101"/>
      <c r="H36" s="101"/>
      <c r="I36" s="73"/>
      <c r="J36" s="75"/>
      <c r="K36" s="77"/>
      <c r="L36" s="79"/>
      <c r="M36" s="81"/>
    </row>
    <row r="37" spans="1:13" ht="21.9" customHeight="1" x14ac:dyDescent="0.4">
      <c r="A37" s="46" t="s">
        <v>27</v>
      </c>
      <c r="B37" s="10"/>
      <c r="C37" s="1"/>
      <c r="D37" s="1"/>
      <c r="E37" s="11" t="s">
        <v>28</v>
      </c>
      <c r="F37" s="48" t="str">
        <f>A37</f>
        <v>Spurious</v>
      </c>
      <c r="G37" s="298" t="str">
        <f>IF(COUNT(B37:D37)=0, "H", IF(COUNT(B38:D38)=0, "V", IF(MAX(B37:D37) &gt;= MAX(B38:D38), "V", "H")))</f>
        <v>H</v>
      </c>
      <c r="H37" s="52">
        <f>MAX(B37:D38)</f>
        <v>0</v>
      </c>
      <c r="I37" s="54">
        <v>-57</v>
      </c>
      <c r="J37" s="64" t="str">
        <f>IF(OR(I37-H37&gt;10,I37-H37=-57),"No Peak Found",I37-H37)</f>
        <v>No Peak Found</v>
      </c>
      <c r="K37" s="66" t="s">
        <v>8</v>
      </c>
      <c r="L37" s="68" t="str">
        <f>IF(OR(COUNTIF(B37:D38, "-")+COUNTBLANK(B37:D38)=6), "Pass", IF(H37 &gt; I37, "Fail", IF(J37 &lt; 3, "Margin 부족", "Pass")))</f>
        <v>Pass</v>
      </c>
      <c r="M37" s="70" t="s">
        <v>11</v>
      </c>
    </row>
    <row r="38" spans="1:13" ht="21.9" customHeight="1" thickBot="1" x14ac:dyDescent="0.45">
      <c r="A38" s="47"/>
      <c r="B38" s="2"/>
      <c r="C38" s="2"/>
      <c r="D38" s="2"/>
      <c r="E38" s="12" t="s">
        <v>29</v>
      </c>
      <c r="F38" s="49"/>
      <c r="G38" s="299"/>
      <c r="H38" s="53"/>
      <c r="I38" s="55"/>
      <c r="J38" s="65"/>
      <c r="K38" s="67"/>
      <c r="L38" s="69"/>
      <c r="M38" s="71"/>
    </row>
    <row r="39" spans="1:13" ht="21.9" customHeight="1" thickBot="1" x14ac:dyDescent="0.45">
      <c r="A39" s="56" t="s">
        <v>34</v>
      </c>
      <c r="B39" s="57"/>
      <c r="C39" s="57"/>
      <c r="D39" s="57"/>
      <c r="E39" s="58"/>
      <c r="F39" s="59" t="s">
        <v>34</v>
      </c>
      <c r="G39" s="59"/>
      <c r="H39" s="59"/>
      <c r="I39" s="59"/>
      <c r="J39" s="59"/>
      <c r="K39" s="59"/>
      <c r="L39" s="59"/>
      <c r="M39" s="59"/>
    </row>
    <row r="40" spans="1:13" ht="21.9" customHeight="1" thickTop="1" x14ac:dyDescent="0.4">
      <c r="A40" s="60" t="s">
        <v>44</v>
      </c>
      <c r="B40" s="62" t="s">
        <v>15</v>
      </c>
      <c r="C40" s="62" t="s">
        <v>16</v>
      </c>
      <c r="D40" s="62" t="s">
        <v>17</v>
      </c>
      <c r="E40" s="98" t="s">
        <v>18</v>
      </c>
      <c r="F40" s="60" t="s">
        <v>44</v>
      </c>
      <c r="G40" s="100" t="s">
        <v>18</v>
      </c>
      <c r="H40" s="100" t="s">
        <v>30</v>
      </c>
      <c r="I40" s="72" t="s">
        <v>42</v>
      </c>
      <c r="J40" s="74" t="s">
        <v>43</v>
      </c>
      <c r="K40" s="76" t="s">
        <v>9</v>
      </c>
      <c r="L40" s="78" t="s">
        <v>19</v>
      </c>
      <c r="M40" s="80" t="s">
        <v>7</v>
      </c>
    </row>
    <row r="41" spans="1:13" ht="21.9" customHeight="1" x14ac:dyDescent="0.4">
      <c r="A41" s="61"/>
      <c r="B41" s="63"/>
      <c r="C41" s="63"/>
      <c r="D41" s="63"/>
      <c r="E41" s="99"/>
      <c r="F41" s="61"/>
      <c r="G41" s="101"/>
      <c r="H41" s="101"/>
      <c r="I41" s="73"/>
      <c r="J41" s="75"/>
      <c r="K41" s="77"/>
      <c r="L41" s="79"/>
      <c r="M41" s="81"/>
    </row>
    <row r="42" spans="1:13" ht="21.9" customHeight="1" x14ac:dyDescent="0.4">
      <c r="A42" s="46" t="s">
        <v>27</v>
      </c>
      <c r="B42" s="10"/>
      <c r="C42" s="1"/>
      <c r="D42" s="1"/>
      <c r="E42" s="11" t="s">
        <v>28</v>
      </c>
      <c r="F42" s="48" t="str">
        <f>A42</f>
        <v>Spurious</v>
      </c>
      <c r="G42" s="298" t="str">
        <f>IF(COUNT(B42:D42)=0, "H", IF(COUNT(B43:D43)=0, "V", IF(MAX(B42:D42) &gt;= MAX(B43:D43), "V", "H")))</f>
        <v>H</v>
      </c>
      <c r="H42" s="52">
        <f>MAX(B42:D43)</f>
        <v>0</v>
      </c>
      <c r="I42" s="54">
        <v>-47</v>
      </c>
      <c r="J42" s="64" t="str">
        <f>IF(OR(I42-H42&gt;10,I42-H42=-47),"No Peak Found",I42-H42)</f>
        <v>No Peak Found</v>
      </c>
      <c r="K42" s="66" t="s">
        <v>8</v>
      </c>
      <c r="L42" s="68" t="str">
        <f>IF(OR(COUNTIF(B42:D43, "-")+COUNTBLANK(B42:D43)=6), "Pass", IF(H42 &gt; I42, "Fail", IF(J42 &lt; 3, "Margin 부족", "Pass")))</f>
        <v>Pass</v>
      </c>
      <c r="M42" s="70" t="s">
        <v>11</v>
      </c>
    </row>
    <row r="43" spans="1:13" ht="21.9" customHeight="1" thickBot="1" x14ac:dyDescent="0.45">
      <c r="A43" s="47"/>
      <c r="B43" s="2"/>
      <c r="C43" s="2"/>
      <c r="D43" s="2"/>
      <c r="E43" s="12" t="s">
        <v>29</v>
      </c>
      <c r="F43" s="49"/>
      <c r="G43" s="299"/>
      <c r="H43" s="53"/>
      <c r="I43" s="55"/>
      <c r="J43" s="65"/>
      <c r="K43" s="67"/>
      <c r="L43" s="69"/>
      <c r="M43" s="71"/>
    </row>
    <row r="44" spans="1:13" ht="21.9" customHeight="1" x14ac:dyDescent="0.4"/>
  </sheetData>
  <mergeCells count="177">
    <mergeCell ref="B1:D1"/>
    <mergeCell ref="E1:F2"/>
    <mergeCell ref="G1:M1"/>
    <mergeCell ref="B2:D2"/>
    <mergeCell ref="G2:M2"/>
    <mergeCell ref="A3:M4"/>
    <mergeCell ref="H7:H8"/>
    <mergeCell ref="I7:M8"/>
    <mergeCell ref="A9:E10"/>
    <mergeCell ref="F9:M10"/>
    <mergeCell ref="A11:E11"/>
    <mergeCell ref="F11:M11"/>
    <mergeCell ref="G5:G6"/>
    <mergeCell ref="H5:H6"/>
    <mergeCell ref="I5:M6"/>
    <mergeCell ref="A7:A8"/>
    <mergeCell ref="B7:B8"/>
    <mergeCell ref="C7:C8"/>
    <mergeCell ref="D7:D8"/>
    <mergeCell ref="E7:E8"/>
    <mergeCell ref="F7:F8"/>
    <mergeCell ref="G7:G8"/>
    <mergeCell ref="A5:A6"/>
    <mergeCell ref="B5:B6"/>
    <mergeCell ref="C5:C6"/>
    <mergeCell ref="D5:D6"/>
    <mergeCell ref="E5:E6"/>
    <mergeCell ref="F5:F6"/>
    <mergeCell ref="M12:M13"/>
    <mergeCell ref="A14:A15"/>
    <mergeCell ref="F14:F15"/>
    <mergeCell ref="G14:G15"/>
    <mergeCell ref="H14:H15"/>
    <mergeCell ref="I14:I15"/>
    <mergeCell ref="J14:J15"/>
    <mergeCell ref="K14:K15"/>
    <mergeCell ref="L14:L15"/>
    <mergeCell ref="M14:M15"/>
    <mergeCell ref="G12:G13"/>
    <mergeCell ref="H12:H13"/>
    <mergeCell ref="I12:I13"/>
    <mergeCell ref="J12:J13"/>
    <mergeCell ref="K12:K13"/>
    <mergeCell ref="L12:L13"/>
    <mergeCell ref="A12:A13"/>
    <mergeCell ref="B12:B13"/>
    <mergeCell ref="C12:C13"/>
    <mergeCell ref="D12:D13"/>
    <mergeCell ref="E12:E13"/>
    <mergeCell ref="F12:F13"/>
    <mergeCell ref="A16:E16"/>
    <mergeCell ref="F16:M16"/>
    <mergeCell ref="A17:A18"/>
    <mergeCell ref="B17:B18"/>
    <mergeCell ref="C17:C18"/>
    <mergeCell ref="D17:D18"/>
    <mergeCell ref="E17:E18"/>
    <mergeCell ref="F17:F18"/>
    <mergeCell ref="G17:G18"/>
    <mergeCell ref="H17:H18"/>
    <mergeCell ref="J19:J20"/>
    <mergeCell ref="K19:K20"/>
    <mergeCell ref="L19:L20"/>
    <mergeCell ref="M19:M20"/>
    <mergeCell ref="A21:E21"/>
    <mergeCell ref="F21:M21"/>
    <mergeCell ref="I17:I18"/>
    <mergeCell ref="J17:J18"/>
    <mergeCell ref="K17:K18"/>
    <mergeCell ref="L17:L18"/>
    <mergeCell ref="M17:M18"/>
    <mergeCell ref="A19:A20"/>
    <mergeCell ref="F19:F20"/>
    <mergeCell ref="G19:G20"/>
    <mergeCell ref="H19:H20"/>
    <mergeCell ref="I19:I20"/>
    <mergeCell ref="M22:M23"/>
    <mergeCell ref="A24:A25"/>
    <mergeCell ref="F24:F25"/>
    <mergeCell ref="G24:G25"/>
    <mergeCell ref="H24:H25"/>
    <mergeCell ref="I24:I25"/>
    <mergeCell ref="J24:J25"/>
    <mergeCell ref="K24:K25"/>
    <mergeCell ref="L24:L25"/>
    <mergeCell ref="M24:M25"/>
    <mergeCell ref="G22:G23"/>
    <mergeCell ref="H22:H23"/>
    <mergeCell ref="I22:I23"/>
    <mergeCell ref="J22:J23"/>
    <mergeCell ref="K22:K23"/>
    <mergeCell ref="L22:L23"/>
    <mergeCell ref="A22:A23"/>
    <mergeCell ref="B22:B23"/>
    <mergeCell ref="C22:C23"/>
    <mergeCell ref="D22:D23"/>
    <mergeCell ref="E22:E23"/>
    <mergeCell ref="F22:F23"/>
    <mergeCell ref="K26:K27"/>
    <mergeCell ref="L26:L27"/>
    <mergeCell ref="M26:M27"/>
    <mergeCell ref="A28:A29"/>
    <mergeCell ref="F28:F29"/>
    <mergeCell ref="G28:G29"/>
    <mergeCell ref="H28:H29"/>
    <mergeCell ref="I28:I29"/>
    <mergeCell ref="J28:J29"/>
    <mergeCell ref="K28:K29"/>
    <mergeCell ref="A26:A27"/>
    <mergeCell ref="F26:F27"/>
    <mergeCell ref="G26:G27"/>
    <mergeCell ref="H26:H27"/>
    <mergeCell ref="I26:I27"/>
    <mergeCell ref="J26:J27"/>
    <mergeCell ref="M30:M31"/>
    <mergeCell ref="N30:P30"/>
    <mergeCell ref="N31:P31"/>
    <mergeCell ref="A32:E33"/>
    <mergeCell ref="F32:M33"/>
    <mergeCell ref="A34:E34"/>
    <mergeCell ref="F34:M34"/>
    <mergeCell ref="L28:L29"/>
    <mergeCell ref="M28:M29"/>
    <mergeCell ref="A30:A31"/>
    <mergeCell ref="F30:F31"/>
    <mergeCell ref="G30:G31"/>
    <mergeCell ref="H30:H31"/>
    <mergeCell ref="I30:I31"/>
    <mergeCell ref="J30:J31"/>
    <mergeCell ref="K30:K31"/>
    <mergeCell ref="L30:L31"/>
    <mergeCell ref="M35:M36"/>
    <mergeCell ref="A37:A38"/>
    <mergeCell ref="F37:F38"/>
    <mergeCell ref="G37:G38"/>
    <mergeCell ref="H37:H38"/>
    <mergeCell ref="I37:I38"/>
    <mergeCell ref="J37:J38"/>
    <mergeCell ref="K37:K38"/>
    <mergeCell ref="L37:L38"/>
    <mergeCell ref="M37:M38"/>
    <mergeCell ref="G35:G36"/>
    <mergeCell ref="H35:H36"/>
    <mergeCell ref="I35:I36"/>
    <mergeCell ref="J35:J36"/>
    <mergeCell ref="K35:K36"/>
    <mergeCell ref="L35:L36"/>
    <mergeCell ref="A35:A36"/>
    <mergeCell ref="B35:B36"/>
    <mergeCell ref="C35:C36"/>
    <mergeCell ref="D35:D36"/>
    <mergeCell ref="E35:E36"/>
    <mergeCell ref="F35:F36"/>
    <mergeCell ref="A42:A43"/>
    <mergeCell ref="F42:F43"/>
    <mergeCell ref="G42:G43"/>
    <mergeCell ref="H42:H43"/>
    <mergeCell ref="I42:I43"/>
    <mergeCell ref="A39:E39"/>
    <mergeCell ref="F39:M39"/>
    <mergeCell ref="A40:A41"/>
    <mergeCell ref="B40:B41"/>
    <mergeCell ref="C40:C41"/>
    <mergeCell ref="D40:D41"/>
    <mergeCell ref="E40:E41"/>
    <mergeCell ref="F40:F41"/>
    <mergeCell ref="G40:G41"/>
    <mergeCell ref="H40:H41"/>
    <mergeCell ref="J42:J43"/>
    <mergeCell ref="K42:K43"/>
    <mergeCell ref="L42:L43"/>
    <mergeCell ref="M42:M43"/>
    <mergeCell ref="I40:I41"/>
    <mergeCell ref="J40:J41"/>
    <mergeCell ref="K40:K41"/>
    <mergeCell ref="L40:L41"/>
    <mergeCell ref="M40:M41"/>
  </mergeCells>
  <phoneticPr fontId="1" type="noConversion"/>
  <conditionalFormatting sqref="J14 J19">
    <cfRule type="cellIs" dxfId="42" priority="22" operator="lessThan">
      <formula>10</formula>
    </cfRule>
  </conditionalFormatting>
  <conditionalFormatting sqref="J14">
    <cfRule type="cellIs" dxfId="41" priority="21" operator="equal">
      <formula>-36</formula>
    </cfRule>
  </conditionalFormatting>
  <conditionalFormatting sqref="L14 L19">
    <cfRule type="cellIs" dxfId="40" priority="20" operator="equal">
      <formula>"Fail"</formula>
    </cfRule>
  </conditionalFormatting>
  <conditionalFormatting sqref="L24">
    <cfRule type="cellIs" dxfId="39" priority="19" operator="equal">
      <formula>"Fail"</formula>
    </cfRule>
  </conditionalFormatting>
  <conditionalFormatting sqref="L26">
    <cfRule type="cellIs" dxfId="38" priority="18" operator="equal">
      <formula>"Fail"</formula>
    </cfRule>
  </conditionalFormatting>
  <conditionalFormatting sqref="L28">
    <cfRule type="cellIs" dxfId="37" priority="17" operator="equal">
      <formula>"Fail"</formula>
    </cfRule>
  </conditionalFormatting>
  <conditionalFormatting sqref="L30">
    <cfRule type="cellIs" dxfId="36" priority="16" operator="equal">
      <formula>"Fail"</formula>
    </cfRule>
  </conditionalFormatting>
  <conditionalFormatting sqref="V33">
    <cfRule type="cellIs" dxfId="35" priority="15" operator="equal">
      <formula>"Fail"</formula>
    </cfRule>
  </conditionalFormatting>
  <conditionalFormatting sqref="L14:L15 L19:L20 L24:L31">
    <cfRule type="cellIs" dxfId="34" priority="14" operator="equal">
      <formula>"Pass"</formula>
    </cfRule>
  </conditionalFormatting>
  <conditionalFormatting sqref="L37">
    <cfRule type="cellIs" dxfId="33" priority="13" operator="equal">
      <formula>"Fail"</formula>
    </cfRule>
  </conditionalFormatting>
  <conditionalFormatting sqref="L37:L38">
    <cfRule type="cellIs" dxfId="32" priority="12" operator="equal">
      <formula>"Pass"</formula>
    </cfRule>
  </conditionalFormatting>
  <conditionalFormatting sqref="L42">
    <cfRule type="cellIs" dxfId="31" priority="11" operator="equal">
      <formula>"Fail"</formula>
    </cfRule>
  </conditionalFormatting>
  <conditionalFormatting sqref="L42:L43">
    <cfRule type="cellIs" dxfId="30" priority="10" operator="equal">
      <formula>"Pass"</formula>
    </cfRule>
  </conditionalFormatting>
  <conditionalFormatting sqref="B14:D15">
    <cfRule type="top10" dxfId="29" priority="9" rank="1"/>
  </conditionalFormatting>
  <conditionalFormatting sqref="B19:D20">
    <cfRule type="top10" dxfId="28" priority="8" rank="1"/>
  </conditionalFormatting>
  <conditionalFormatting sqref="B24:D25">
    <cfRule type="top10" dxfId="27" priority="7" rank="1"/>
  </conditionalFormatting>
  <conditionalFormatting sqref="B26:D27">
    <cfRule type="top10" dxfId="26" priority="6" rank="1"/>
  </conditionalFormatting>
  <conditionalFormatting sqref="B28:D29">
    <cfRule type="top10" dxfId="25" priority="5" rank="1"/>
  </conditionalFormatting>
  <conditionalFormatting sqref="B30:D31">
    <cfRule type="top10" dxfId="24" priority="4" rank="1"/>
  </conditionalFormatting>
  <conditionalFormatting sqref="J24 J26 J28 J30">
    <cfRule type="expression" dxfId="23" priority="1">
      <formula>J24=-30</formula>
    </cfRule>
    <cfRule type="expression" dxfId="22" priority="2">
      <formula>AND(J24&lt;&gt;-30,J24&lt;=3)</formula>
    </cfRule>
    <cfRule type="expression" dxfId="21" priority="3">
      <formula>AND(J24&gt;3,J24&lt;10)</formula>
    </cfRule>
  </conditionalFormatting>
  <dataValidations count="1">
    <dataValidation type="list" allowBlank="1" showInputMessage="1" showErrorMessage="1" sqref="M14 M19 M30 M24 M26 M28 M42:M43 M37:M38" xr:uid="{FDCCF840-C271-467A-9934-146E6B0C0949}">
      <formula1>"Fundamental, Harmonic, Noise Floor, -"</formula1>
    </dataValidation>
  </dataValidations>
  <pageMargins left="0.7" right="0.7" top="0.75" bottom="0.75" header="0.3" footer="0.3"/>
  <pageSetup paperSize="9" scale="27" orientation="portrait" r:id="rId1"/>
  <colBreaks count="1" manualBreakCount="1">
    <brk id="13" max="42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14</vt:i4>
      </vt:variant>
      <vt:variant>
        <vt:lpstr>이름 지정된 범위</vt:lpstr>
      </vt:variant>
      <vt:variant>
        <vt:i4>14</vt:i4>
      </vt:variant>
    </vt:vector>
  </HeadingPairs>
  <TitlesOfParts>
    <vt:vector size="28" baseType="lpstr">
      <vt:lpstr>WCDMA 1</vt:lpstr>
      <vt:lpstr>WCDMA 5</vt:lpstr>
      <vt:lpstr>WCDMA 8</vt:lpstr>
      <vt:lpstr>LTE_BAND 1</vt:lpstr>
      <vt:lpstr>LTE_BAND 3</vt:lpstr>
      <vt:lpstr>LTE_BAND 7</vt:lpstr>
      <vt:lpstr>LTE_BAND 5</vt:lpstr>
      <vt:lpstr>LTE_BAND 8</vt:lpstr>
      <vt:lpstr>LTE_BAND 20</vt:lpstr>
      <vt:lpstr>LTE_BAND 28</vt:lpstr>
      <vt:lpstr>LTE_BAND 34</vt:lpstr>
      <vt:lpstr>LTE_BAND 38</vt:lpstr>
      <vt:lpstr>LTE_BAND 40</vt:lpstr>
      <vt:lpstr>LTE_BAND 41</vt:lpstr>
      <vt:lpstr>'LTE_BAND 1'!Print_Area</vt:lpstr>
      <vt:lpstr>'LTE_BAND 20'!Print_Area</vt:lpstr>
      <vt:lpstr>'LTE_BAND 28'!Print_Area</vt:lpstr>
      <vt:lpstr>'LTE_BAND 3'!Print_Area</vt:lpstr>
      <vt:lpstr>'LTE_BAND 34'!Print_Area</vt:lpstr>
      <vt:lpstr>'LTE_BAND 38'!Print_Area</vt:lpstr>
      <vt:lpstr>'LTE_BAND 40'!Print_Area</vt:lpstr>
      <vt:lpstr>'LTE_BAND 41'!Print_Area</vt:lpstr>
      <vt:lpstr>'LTE_BAND 5'!Print_Area</vt:lpstr>
      <vt:lpstr>'LTE_BAND 7'!Print_Area</vt:lpstr>
      <vt:lpstr>'LTE_BAND 8'!Print_Area</vt:lpstr>
      <vt:lpstr>'WCDMA 1'!Print_Area</vt:lpstr>
      <vt:lpstr>'WCDMA 5'!Print_Area</vt:lpstr>
      <vt:lpstr>'WCDMA 8'!Print_Area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HCT-2767-김기현</dc:creator>
  <cp:lastModifiedBy>범진 박</cp:lastModifiedBy>
  <dcterms:created xsi:type="dcterms:W3CDTF">2026-01-28T01:34:22Z</dcterms:created>
  <dcterms:modified xsi:type="dcterms:W3CDTF">2026-07-21T04:47:55Z</dcterms:modified>
</cp:coreProperties>
</file>